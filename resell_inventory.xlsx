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sz val="14"/>
    </font>
    <font>
      <name val="Calibri"/>
      <charset val="1"/>
      <family val="0"/>
      <sz val="11"/>
    </font>
  </fonts>
  <fills count="8">
    <fill>
      <patternFill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F8F9FA"/>
        <bgColor rgb="FFFFFFFF"/>
      </patternFill>
    </fill>
    <fill>
      <patternFill patternType="solid">
        <fgColor rgb="FFFFF3CD"/>
        <bgColor rgb="FFF8F9FA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D1ECF1"/>
        <bgColor rgb="00D1ECF1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8F9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1" min="1" max="1"/>
    <col width="20" customWidth="1" style="11" min="2" max="2"/>
    <col width="15" customWidth="1" style="11" min="3" max="3"/>
    <col width="20" customWidth="1" style="11" min="4" max="4"/>
    <col width="12" customWidth="1" style="11" min="5" max="10"/>
    <col width="18" customWidth="1" style="11" min="11" max="11"/>
    <col width="12" customWidth="1" style="11" min="12" max="15"/>
    <col width="35" customWidth="1" style="11" min="16" max="16"/>
    <col width="30" customWidth="1" style="11" min="17" max="18"/>
  </cols>
  <sheetData>
    <row r="1" ht="23.85" customHeight="1" s="12">
      <c r="A1" s="13" t="inlineStr">
        <is>
          <t>Item Name</t>
        </is>
      </c>
      <c r="B1" s="13" t="inlineStr">
        <is>
          <t>Category</t>
        </is>
      </c>
      <c r="C1" s="13" t="inlineStr">
        <is>
          <t>Brand</t>
        </is>
      </c>
      <c r="D1" s="13" t="inlineStr">
        <is>
          <t>Model</t>
        </is>
      </c>
      <c r="E1" s="13" t="inlineStr">
        <is>
          <t>Condition</t>
        </is>
      </c>
      <c r="F1" s="13" t="inlineStr">
        <is>
          <t>Quick Sale $</t>
        </is>
      </c>
      <c r="G1" s="13" t="inlineStr">
        <is>
          <t>Market Price $</t>
        </is>
      </c>
      <c r="H1" s="13" t="inlineStr">
        <is>
          <t>Optimistic $</t>
        </is>
      </c>
      <c r="I1" s="13" t="inlineStr">
        <is>
          <t>Listed Price $</t>
        </is>
      </c>
      <c r="J1" s="13" t="inlineStr">
        <is>
          <t>Sold Price $</t>
        </is>
      </c>
      <c r="K1" s="13" t="inlineStr">
        <is>
          <t>Marketplace</t>
        </is>
      </c>
      <c r="L1" s="13" t="inlineStr">
        <is>
          <t>Status</t>
        </is>
      </c>
      <c r="M1" s="13" t="inlineStr">
        <is>
          <t>Date Added</t>
        </is>
      </c>
      <c r="N1" s="13" t="inlineStr">
        <is>
          <t>Date Listed</t>
        </is>
      </c>
      <c r="O1" s="13" t="inlineStr">
        <is>
          <t>Date Sold</t>
        </is>
      </c>
      <c r="P1" s="13" t="inlineStr">
        <is>
          <t>Listing URL</t>
        </is>
      </c>
      <c r="Q1" s="13" t="inlineStr">
        <is>
          <t>Photos Folder</t>
        </is>
      </c>
      <c r="R1" s="13" t="inlineStr">
        <is>
          <t>Notes</t>
        </is>
      </c>
    </row>
    <row r="2" ht="15" customHeight="1" s="12">
      <c r="A2" s="14" t="inlineStr">
        <is>
          <t>Paradigm Monitor 9 v.2 Tower Speakers (Pair)</t>
        </is>
      </c>
      <c r="B2" s="14" t="inlineStr">
        <is>
          <t>Audio / Home Theater</t>
        </is>
      </c>
      <c r="C2" s="14" t="inlineStr">
        <is>
          <t>Paradigm</t>
        </is>
      </c>
      <c r="D2" s="14" t="inlineStr">
        <is>
          <t>Monitor 9 v.2</t>
        </is>
      </c>
      <c r="E2" s="14" t="inlineStr">
        <is>
          <t>Very Good</t>
        </is>
      </c>
      <c r="F2" s="15" t="n">
        <v>300</v>
      </c>
      <c r="G2" s="15" t="n">
        <v>375</v>
      </c>
      <c r="H2" s="15" t="n">
        <v>475</v>
      </c>
      <c r="I2" s="15" t="n"/>
      <c r="J2" s="15" t="n"/>
      <c r="K2" s="14" t="inlineStr">
        <is>
          <t>FB Marketplace</t>
        </is>
      </c>
      <c r="L2" s="19" t="inlineStr">
        <is>
          <t>listed</t>
        </is>
      </c>
      <c r="M2" s="14" t="inlineStr">
        <is>
          <t>2026-03-13</t>
        </is>
      </c>
      <c r="N2" s="14" t="n"/>
      <c r="O2" s="14" t="n"/>
      <c r="P2" s="14" t="n"/>
      <c r="Q2" s="14" t="inlineStr">
        <is>
          <t>Items to resell/Music Equipment</t>
        </is>
      </c>
      <c r="R2" s="14" t="inlineStr">
        <is>
          <t>Bundle listing at $800 (272 clicks on FB — strong interest). Carter asked about buying floor speakers separately — replied 3/16: '$375/pair, interested?'. David confirmed ok to sell individually. Last checked: 2026-03-16.</t>
        </is>
      </c>
    </row>
    <row r="3" ht="15" customHeight="1" s="12">
      <c r="A3" s="17" t="inlineStr">
        <is>
          <t>Paradigm CC-370 v.2 Center Channel</t>
        </is>
      </c>
      <c r="B3" s="17" t="inlineStr">
        <is>
          <t>Audio / Home Theater</t>
        </is>
      </c>
      <c r="C3" s="17" t="inlineStr">
        <is>
          <t>Paradigm</t>
        </is>
      </c>
      <c r="D3" s="17" t="inlineStr">
        <is>
          <t>CC-370 v.2</t>
        </is>
      </c>
      <c r="E3" s="17" t="inlineStr">
        <is>
          <t>Very Good</t>
        </is>
      </c>
      <c r="F3" s="18" t="n">
        <v>100</v>
      </c>
      <c r="G3" s="18" t="n">
        <v>150</v>
      </c>
      <c r="H3" s="18" t="n">
        <v>225</v>
      </c>
      <c r="I3" s="18" t="n"/>
      <c r="J3" s="18" t="n"/>
      <c r="K3" s="17" t="inlineStr">
        <is>
          <t>FB Marketplace</t>
        </is>
      </c>
      <c r="L3" s="19" t="inlineStr">
        <is>
          <t>listed</t>
        </is>
      </c>
      <c r="M3" s="17" t="inlineStr">
        <is>
          <t>2026-03-13</t>
        </is>
      </c>
      <c r="N3" s="17" t="n"/>
      <c r="O3" s="17" t="n"/>
      <c r="P3" s="17" t="n"/>
      <c r="Q3" s="17" t="inlineStr">
        <is>
          <t>Items to resell/Music Equipment</t>
        </is>
      </c>
      <c r="R3" s="17" t="inlineStr">
        <is>
          <t>Listed as bundle at $800 on FB Marketplace (3/13). 272 clicks on bundle. David confirmed ok to sell pieces individually if needed. Last checked: 2026-03-16.</t>
        </is>
      </c>
    </row>
    <row r="4" ht="15" customHeight="1" s="12">
      <c r="A4" s="14" t="inlineStr">
        <is>
          <t>Paradigm PS-1000 v.3 Powered Subwoofer</t>
        </is>
      </c>
      <c r="B4" s="14" t="inlineStr">
        <is>
          <t>Audio / Home Theater</t>
        </is>
      </c>
      <c r="C4" s="14" t="inlineStr">
        <is>
          <t>Paradigm</t>
        </is>
      </c>
      <c r="D4" s="14" t="inlineStr">
        <is>
          <t>PS-1000 v.3</t>
        </is>
      </c>
      <c r="E4" s="14" t="inlineStr">
        <is>
          <t>Very Good</t>
        </is>
      </c>
      <c r="F4" s="15" t="n">
        <v>150</v>
      </c>
      <c r="G4" s="15" t="n">
        <v>200</v>
      </c>
      <c r="H4" s="15" t="n">
        <v>275</v>
      </c>
      <c r="I4" s="15" t="n"/>
      <c r="J4" s="15" t="n"/>
      <c r="K4" s="14" t="inlineStr">
        <is>
          <t>FB Marketplace</t>
        </is>
      </c>
      <c r="L4" s="19" t="inlineStr">
        <is>
          <t>listed</t>
        </is>
      </c>
      <c r="M4" s="14" t="inlineStr">
        <is>
          <t>2026-03-13</t>
        </is>
      </c>
      <c r="N4" s="14" t="n"/>
      <c r="O4" s="14" t="n"/>
      <c r="P4" s="14" t="n"/>
      <c r="Q4" s="14" t="inlineStr">
        <is>
          <t>Items to resell/Music Equipment</t>
        </is>
      </c>
      <c r="R4" s="14" t="inlineStr">
        <is>
          <t>Listed as bundle at $800 on FB Marketplace (3/13). 272 clicks on bundle. David confirmed ok to sell pieces individually if needed. Last checked: 2026-03-16.</t>
        </is>
      </c>
    </row>
    <row r="5" ht="15" customHeight="1" s="12">
      <c r="A5" s="17" t="inlineStr">
        <is>
          <t>Marantz AV Receiver (SR-series)</t>
        </is>
      </c>
      <c r="B5" s="17" t="inlineStr">
        <is>
          <t>Audio / Home Theater</t>
        </is>
      </c>
      <c r="C5" s="17" t="inlineStr">
        <is>
          <t>Marantz</t>
        </is>
      </c>
      <c r="D5" s="17" t="inlineStr">
        <is>
          <t>SR5600 (approx)</t>
        </is>
      </c>
      <c r="E5" s="17" t="inlineStr">
        <is>
          <t>Good</t>
        </is>
      </c>
      <c r="F5" s="18" t="n">
        <v>100</v>
      </c>
      <c r="G5" s="18" t="n">
        <v>150</v>
      </c>
      <c r="H5" s="18" t="n">
        <v>200</v>
      </c>
      <c r="I5" s="18" t="n"/>
      <c r="J5" s="18" t="n"/>
      <c r="K5" s="17" t="inlineStr">
        <is>
          <t>FB Marketplace</t>
        </is>
      </c>
      <c r="L5" s="19" t="inlineStr">
        <is>
          <t>listed</t>
        </is>
      </c>
      <c r="M5" s="17" t="inlineStr">
        <is>
          <t>2026-03-13</t>
        </is>
      </c>
      <c r="N5" s="17" t="n"/>
      <c r="O5" s="17" t="n"/>
      <c r="P5" s="17" t="n"/>
      <c r="Q5" s="17" t="inlineStr">
        <is>
          <t>Items to resell/Music Equipment</t>
        </is>
      </c>
      <c r="R5" s="17" t="inlineStr">
        <is>
          <t>Listed as bundle at $800 on FB Marketplace (3/13). 272 clicks on bundle. David confirmed ok to sell pieces individually if needed. Last checked: 2026-03-16.</t>
        </is>
      </c>
    </row>
    <row r="6" ht="15" customHeight="1" s="12">
      <c r="A6" s="14" t="inlineStr">
        <is>
          <t>Tiffany Studios NY Desk Set (Venetian Pattern)</t>
        </is>
      </c>
      <c r="B6" s="14" t="inlineStr">
        <is>
          <t>Antiques / Decorative Arts</t>
        </is>
      </c>
      <c r="C6" s="14" t="inlineStr">
        <is>
          <t>Tiffany Studios</t>
        </is>
      </c>
      <c r="D6" s="14" t="inlineStr">
        <is>
          <t>Venetian #2111 / #1700-series</t>
        </is>
      </c>
      <c r="E6" s="14" t="inlineStr">
        <is>
          <t>Good - age-appropriate patina</t>
        </is>
      </c>
      <c r="F6" s="15" t="n">
        <v>1500</v>
      </c>
      <c r="G6" s="15" t="n">
        <v>4000</v>
      </c>
      <c r="H6" s="15" t="n">
        <v>8000</v>
      </c>
      <c r="I6" s="15" t="n"/>
      <c r="J6" s="15" t="n"/>
      <c r="K6" s="14" t="inlineStr">
        <is>
          <t>1stDibs / Auction House</t>
        </is>
      </c>
      <c r="L6" s="16" t="inlineStr">
        <is>
          <t>draft</t>
        </is>
      </c>
      <c r="M6" s="14" t="inlineStr">
        <is>
          <t>2026-03-13</t>
        </is>
      </c>
      <c r="N6" s="14" t="n"/>
      <c r="O6" s="14" t="n"/>
      <c r="P6" s="14" t="n"/>
      <c r="Q6" s="14" t="inlineStr">
        <is>
          <t>Items to resell/Tiffany</t>
        </is>
      </c>
      <c r="R6" s="14" t="inlineStr">
        <is>
          <t>Multiple pieces: inkwell w/ glass inserts, pen trays, stamp box, candelabra base. RECOMMEND PROFESSIONAL AUTHENTICATION before selling.</t>
        </is>
      </c>
    </row>
    <row r="7" ht="15" customHeight="1" s="12">
      <c r="A7" s="17" t="inlineStr">
        <is>
          <t>Singer Featherweight 221 Sewing Machine</t>
        </is>
      </c>
      <c r="B7" s="17" t="inlineStr">
        <is>
          <t>Sewing / Vintage Machines</t>
        </is>
      </c>
      <c r="C7" s="17" t="inlineStr">
        <is>
          <t>Singer</t>
        </is>
      </c>
      <c r="D7" s="17" t="inlineStr">
        <is>
          <t>Featherweight 221</t>
        </is>
      </c>
      <c r="E7" s="17" t="inlineStr">
        <is>
          <t>Very Good</t>
        </is>
      </c>
      <c r="F7" s="18" t="n">
        <v>300</v>
      </c>
      <c r="G7" s="18" t="n">
        <v>550</v>
      </c>
      <c r="H7" s="18" t="n">
        <v>900</v>
      </c>
      <c r="I7" s="18" t="n">
        <v>380</v>
      </c>
      <c r="J7" s="18" t="n">
        <v>342</v>
      </c>
      <c r="K7" s="17" t="inlineStr">
        <is>
          <t>eBay</t>
        </is>
      </c>
      <c r="L7" s="26" t="inlineStr">
        <is>
          <t>sold</t>
        </is>
      </c>
      <c r="M7" s="17" t="inlineStr">
        <is>
          <t>2026-03-13</t>
        </is>
      </c>
      <c r="N7" s="17" t="n"/>
      <c r="O7" s="17" t="n"/>
      <c r="P7" s="17" t="inlineStr">
        <is>
          <t>https://www.ebay.com/itm/298122784143</t>
        </is>
      </c>
      <c r="Q7" s="17" t="inlineStr">
        <is>
          <t>Items to resell/Sowing Machine</t>
        </is>
      </c>
      <c r="R7" s="17" t="inlineStr">
        <is>
          <t>SOLD to mari88530 (Maria Lara Rivas) for $342. Order #12-14372-41895. Ship by Thu Mar 19. Payment received Mar 16. Last checked: 2026-03-16.</t>
        </is>
      </c>
    </row>
    <row r="8" ht="15" customHeight="1" s="12">
      <c r="A8" s="14" t="inlineStr">
        <is>
          <t>Itzchak Tarkay "Tea for Two" Signed Lithograph</t>
        </is>
      </c>
      <c r="B8" s="14" t="inlineStr">
        <is>
          <t>Art / Prints</t>
        </is>
      </c>
      <c r="C8" s="14" t="inlineStr">
        <is>
          <t>Itzchak Tarkay</t>
        </is>
      </c>
      <c r="D8" s="14" t="inlineStr">
        <is>
          <t>Tea for Two - Ltd Ed Lithograph</t>
        </is>
      </c>
      <c r="E8" s="14" t="inlineStr">
        <is>
          <t>Very Good</t>
        </is>
      </c>
      <c r="F8" s="15" t="n">
        <v>150</v>
      </c>
      <c r="G8" s="15" t="n">
        <v>350</v>
      </c>
      <c r="H8" s="15" t="n">
        <v>700</v>
      </c>
      <c r="I8" s="15" t="n">
        <v>350</v>
      </c>
      <c r="J8" s="15" t="n"/>
      <c r="K8" s="14" t="inlineStr">
        <is>
          <t>eBay</t>
        </is>
      </c>
      <c r="L8" s="19" t="inlineStr">
        <is>
          <t>listed</t>
        </is>
      </c>
      <c r="M8" s="14" t="inlineStr">
        <is>
          <t>2026-03-13</t>
        </is>
      </c>
      <c r="N8" s="14" t="n"/>
      <c r="O8" s="14" t="n"/>
      <c r="P8" s="14" t="inlineStr">
        <is>
          <t>https://www.ebay.com/itm/298122793101</t>
        </is>
      </c>
      <c r="Q8" s="14" t="inlineStr">
        <is>
          <t>Items to resell/Painting</t>
        </is>
      </c>
      <c r="R8" s="14" t="inlineStr">
        <is>
          <t>1 view, 0 watchers — still very low engagement 2 days in. No offers or messages. Consider price review if no activity by 3/21. Last checked: 2026-03-16.</t>
        </is>
      </c>
    </row>
    <row r="9" ht="15" customHeight="1" s="12">
      <c r="A9" s="17" t="inlineStr">
        <is>
          <t>Asian Shadow Box Display Cabinet</t>
        </is>
      </c>
      <c r="B9" s="17" t="inlineStr">
        <is>
          <t>Furniture / Decor</t>
        </is>
      </c>
      <c r="C9" s="17" t="inlineStr">
        <is>
          <t>Unknown</t>
        </is>
      </c>
      <c r="D9" s="17" t="inlineStr">
        <is>
          <t>Wall-mount curio display</t>
        </is>
      </c>
      <c r="E9" s="17" t="inlineStr">
        <is>
          <t>Good</t>
        </is>
      </c>
      <c r="F9" s="18" t="n">
        <v>40</v>
      </c>
      <c r="G9" s="18" t="n">
        <v>80</v>
      </c>
      <c r="H9" s="18" t="n">
        <v>150</v>
      </c>
      <c r="I9" s="18" t="n">
        <v>80</v>
      </c>
      <c r="J9" s="18" t="n"/>
      <c r="K9" s="17" t="inlineStr">
        <is>
          <t>FB Marketplace</t>
        </is>
      </c>
      <c r="L9" s="19" t="inlineStr">
        <is>
          <t>listed</t>
        </is>
      </c>
      <c r="M9" s="17" t="inlineStr">
        <is>
          <t>2026-03-13</t>
        </is>
      </c>
      <c r="N9" s="17" t="n"/>
      <c r="O9" s="17" t="n"/>
      <c r="P9" s="17" t="n"/>
      <c r="Q9" s="17" t="inlineStr">
        <is>
          <t>Items to resell/Other Art</t>
        </is>
      </c>
      <c r="R9" s="17" t="inlineStr">
        <is>
          <t>54 clicks on listing. Merrisa Allmond asked 'is this still available?' — replied 3/16: 'Yes, still available!' Last checked: 2026-03-16.</t>
        </is>
      </c>
    </row>
    <row r="10"/>
    <row r="11" ht="15" customHeight="1" s="12">
      <c r="A11" s="20" t="inlineStr">
        <is>
          <t>TOTALS</t>
        </is>
      </c>
      <c r="F11" s="21">
        <f>SUM(F2:F9)</f>
        <v/>
      </c>
      <c r="G11" s="21">
        <f>SUM(G2:G9)</f>
        <v/>
      </c>
      <c r="H11" s="21">
        <f>SUM(H2:H9)</f>
        <v/>
      </c>
    </row>
    <row r="12">
      <c r="A12" s="11" t="inlineStr">
        <is>
          <t>Oversized Tapestry Club Chair</t>
        </is>
      </c>
      <c r="B12" s="11" t="inlineStr">
        <is>
          <t>Furniture / Home Decor</t>
        </is>
      </c>
      <c r="E12" s="11" t="inlineStr">
        <is>
          <t>Very Good</t>
        </is>
      </c>
      <c r="F12" s="11" t="n">
        <v>75</v>
      </c>
      <c r="G12" s="11" t="n">
        <v>125</v>
      </c>
      <c r="H12" s="11" t="n">
        <v>175</v>
      </c>
      <c r="I12" s="11" t="n">
        <v>125</v>
      </c>
      <c r="K12" s="11" t="inlineStr">
        <is>
          <t>FB Marketplace</t>
        </is>
      </c>
      <c r="L12" s="25" t="inlineStr">
        <is>
          <t>listed</t>
        </is>
      </c>
      <c r="M12" s="11" t="inlineStr">
        <is>
          <t>2026-03-15</t>
        </is>
      </c>
      <c r="P12" s="11" t="inlineStr">
        <is>
          <t>https://www.facebook.com/marketplace/item/1906061356703947</t>
        </is>
      </c>
      <c r="Q12" s="11" t="inlineStr">
        <is>
          <t>Listing Photos/tapestry-club-chair</t>
        </is>
      </c>
      <c r="R12" s="11" t="inlineStr">
        <is>
          <t>26 clicks on listing. Active — no messages today. Last checked: 2026-03-16.</t>
        </is>
      </c>
    </row>
    <row r="13">
      <c r="A13" s="11" t="inlineStr">
        <is>
          <t>Geometric Pushback Recliner</t>
        </is>
      </c>
      <c r="B13" s="11" t="inlineStr">
        <is>
          <t>Furniture / Home Decor</t>
        </is>
      </c>
      <c r="E13" s="11" t="inlineStr">
        <is>
          <t>Very Good</t>
        </is>
      </c>
      <c r="F13" s="11" t="n">
        <v>100</v>
      </c>
      <c r="G13" s="11" t="n">
        <v>150</v>
      </c>
      <c r="H13" s="11" t="n">
        <v>225</v>
      </c>
      <c r="I13" s="11" t="n">
        <v>150</v>
      </c>
      <c r="K13" s="11" t="inlineStr">
        <is>
          <t>FB Marketplace</t>
        </is>
      </c>
      <c r="L13" s="25" t="inlineStr">
        <is>
          <t>listed</t>
        </is>
      </c>
      <c r="M13" s="11" t="inlineStr">
        <is>
          <t>2026-03-15</t>
        </is>
      </c>
      <c r="P13" s="11" t="inlineStr">
        <is>
          <t>https://www.facebook.com/marketplace/item/1255615856540782</t>
        </is>
      </c>
      <c r="Q13" s="11" t="inlineStr">
        <is>
          <t>Listing Photos/geometric-pushback-recliner</t>
        </is>
      </c>
      <c r="R13" s="11" t="inlineStr">
        <is>
          <t>15 clicks on listing. Active — no messages today. Last checked: 2026-03-16.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1" min="1" max="1"/>
    <col width="15" customWidth="1" style="11" min="2" max="2"/>
  </cols>
  <sheetData>
    <row r="1" ht="17.35" customHeight="1" s="12">
      <c r="A1" s="22" t="inlineStr">
        <is>
          <t>Resell Inventory Summary</t>
        </is>
      </c>
    </row>
    <row r="3" ht="15" customHeight="1" s="12">
      <c r="A3" s="23" t="inlineStr">
        <is>
          <t>Total Items:</t>
        </is>
      </c>
      <c r="B3" s="20">
        <f>COUNTA(Inventory!A2:A9)</f>
        <v/>
      </c>
    </row>
    <row r="4" ht="15" customHeight="1" s="12">
      <c r="A4" s="23" t="inlineStr">
        <is>
          <t>Listed:</t>
        </is>
      </c>
      <c r="B4" s="20">
        <f>COUNTIF(Inventory!L2:L9,"listed")</f>
        <v/>
      </c>
    </row>
    <row r="5" ht="15" customHeight="1" s="12">
      <c r="A5" s="23" t="inlineStr">
        <is>
          <t>Sold:</t>
        </is>
      </c>
      <c r="B5" s="20">
        <f>COUNTIF(Inventory!L2:L9,"sold")</f>
        <v/>
      </c>
    </row>
    <row r="6" ht="15" customHeight="1" s="12">
      <c r="A6" s="23" t="inlineStr">
        <is>
          <t>Draft:</t>
        </is>
      </c>
      <c r="B6" s="20">
        <f>COUNTIF(Inventory!L2:L9,"draft")</f>
        <v/>
      </c>
    </row>
    <row r="7" ht="15" customHeight="1" s="12">
      <c r="A7" s="23" t="inlineStr">
        <is>
          <t>Est. Total (Quick Sale):</t>
        </is>
      </c>
      <c r="B7" s="21">
        <f>SUM(Inventory!F2:F9)</f>
        <v/>
      </c>
    </row>
    <row r="8" ht="15" customHeight="1" s="12">
      <c r="A8" s="23" t="inlineStr">
        <is>
          <t>Est. Total (Market):</t>
        </is>
      </c>
      <c r="B8" s="21">
        <f>SUM(Inventory!G2:G9)</f>
        <v/>
      </c>
    </row>
    <row r="9" ht="15" customHeight="1" s="12">
      <c r="A9" s="23" t="inlineStr">
        <is>
          <t>Est. Total (Optimistic):</t>
        </is>
      </c>
      <c r="B9" s="21">
        <f>SUM(Inventory!H2:H9)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2026-03-13T22:55:54Z</dcterms:created>
  <dcterms:modified xmlns:dcterms="http://purl.org/dc/terms/" xmlns:xsi="http://www.w3.org/2001/XMLSchema-instance" xsi:type="dcterms:W3CDTF">2026-03-16T22:59:32Z</dcterms:modified>
  <cp:revision>0</cp:revision>
</cp:coreProperties>
</file>