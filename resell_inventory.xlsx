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_);($#,##0)"/>
  </numFmts>
  <fonts count="8">
    <font>
      <name val="Calibri"/>
      <family val="2"/>
      <color theme="1"/>
      <sz val="11"/>
      <scheme val="minor"/>
    </font>
    <font>
      <name val="Calibri"/>
      <family val="2"/>
      <color rgb="FF000000"/>
      <sz val="14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0"/>
    </font>
    <font>
      <name val="Calibri"/>
      <family val="2"/>
      <color theme="1"/>
      <sz val="11"/>
    </font>
    <font>
      <b val="1"/>
      <sz val="13"/>
    </font>
    <font>
      <b val="1"/>
    </font>
  </fonts>
  <fills count="10">
    <fill>
      <patternFill/>
    </fill>
    <fill>
      <patternFill patternType="gray125"/>
    </fill>
    <fill>
      <patternFill patternType="solid">
        <fgColor rgb="FF1b4f72"/>
      </patternFill>
    </fill>
    <fill>
      <patternFill patternType="solid">
        <fgColor rgb="FFf8f9f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d1ecf1"/>
      </patternFill>
    </fill>
    <fill>
      <patternFill patternType="solid">
        <fgColor rgb="FFffe4a0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36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3" fillId="2" borderId="2" applyAlignment="1" pivotButton="0" quotePrefix="0" xfId="0">
      <alignment horizontal="center" wrapText="1"/>
    </xf>
    <xf numFmtId="3" fontId="3" fillId="2" borderId="2" applyAlignment="1" pivotButton="0" quotePrefix="0" xfId="0">
      <alignment horizontal="center" wrapText="1"/>
    </xf>
    <xf numFmtId="164" fontId="3" fillId="2" borderId="2" applyAlignment="1" pivotButton="0" quotePrefix="0" xfId="0">
      <alignment horizontal="center" wrapText="1"/>
    </xf>
    <xf numFmtId="0" fontId="4" fillId="3" borderId="2" applyAlignment="1" pivotButton="0" quotePrefix="0" xfId="0">
      <alignment horizontal="left"/>
    </xf>
    <xf numFmtId="164" fontId="4" fillId="3" borderId="2" applyAlignment="1" pivotButton="0" quotePrefix="0" xfId="0">
      <alignment horizontal="right"/>
    </xf>
    <xf numFmtId="0" fontId="4" fillId="4" borderId="2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164" fontId="4" fillId="0" borderId="1" applyAlignment="1" pivotButton="0" quotePrefix="0" xfId="0">
      <alignment horizontal="right"/>
    </xf>
    <xf numFmtId="0" fontId="4" fillId="5" borderId="2" applyAlignment="1" pivotButton="0" quotePrefix="0" xfId="0">
      <alignment horizontal="left"/>
    </xf>
    <xf numFmtId="0" fontId="4" fillId="6" borderId="2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right"/>
    </xf>
    <xf numFmtId="0" fontId="2" fillId="4" borderId="2" applyAlignment="1" pivotButton="0" quotePrefix="0" xfId="0">
      <alignment horizontal="left"/>
    </xf>
    <xf numFmtId="0" fontId="2" fillId="7" borderId="2" applyAlignment="1" pivotButton="0" quotePrefix="0" xfId="0">
      <alignment horizontal="left"/>
    </xf>
    <xf numFmtId="0" fontId="2" fillId="5" borderId="2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general"/>
    </xf>
    <xf numFmtId="0" fontId="2" fillId="8" borderId="2" applyAlignment="1" pivotButton="0" quotePrefix="0" xfId="0">
      <alignment horizontal="left"/>
    </xf>
    <xf numFmtId="0" fontId="4" fillId="8" borderId="2" applyAlignment="1" pivotButton="0" quotePrefix="0" xfId="0">
      <alignment horizontal="left"/>
    </xf>
    <xf numFmtId="0" fontId="0" fillId="8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9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R28"/>
  <sheetViews>
    <sheetView tabSelected="1" workbookViewId="0">
      <pane xSplit="0" ySplit="1" topLeftCell="A2" activePane="bottomLeft" state="frozen"/>
      <selection activeCell="A1" sqref="A1"/>
    </sheetView>
  </sheetViews>
  <sheetFormatPr baseColWidth="8" defaultRowHeight="15"/>
  <cols>
    <col width="25.005" bestFit="1" customWidth="1" style="7" min="1" max="1"/>
    <col width="20.005" bestFit="1" customWidth="1" style="7" min="2" max="2"/>
    <col width="15.005" bestFit="1" customWidth="1" style="27" min="3" max="3"/>
    <col width="20.005" bestFit="1" customWidth="1" style="27" min="4" max="4"/>
    <col width="12.005" bestFit="1" customWidth="1" style="27" min="5" max="5"/>
    <col width="12.005" bestFit="1" customWidth="1" style="28" min="6" max="6"/>
    <col width="12.005" bestFit="1" customWidth="1" style="28" min="7" max="7"/>
    <col width="12.005" bestFit="1" customWidth="1" style="28" min="8" max="8"/>
    <col width="12.005" bestFit="1" customWidth="1" style="28" min="9" max="9"/>
    <col width="12.005" bestFit="1" customWidth="1" style="29" min="10" max="10"/>
    <col width="18.005" bestFit="1" customWidth="1" style="7" min="11" max="11"/>
    <col width="12.005" bestFit="1" customWidth="1" style="7" min="12" max="12"/>
    <col width="12.005" bestFit="1" customWidth="1" style="7" min="13" max="13"/>
    <col width="12.005" bestFit="1" customWidth="1" style="27" min="14" max="14"/>
    <col width="12.005" bestFit="1" customWidth="1" style="27" min="15" max="15"/>
    <col width="35.005" bestFit="1" customWidth="1" style="27" min="16" max="16"/>
    <col width="30.005" bestFit="1" customWidth="1" style="27" min="17" max="17"/>
    <col width="30.005" bestFit="1" customWidth="1" style="7" min="18" max="18"/>
  </cols>
  <sheetData>
    <row r="1" ht="23.25" customFormat="1" customHeight="1" s="9">
      <c r="A1" s="10" t="inlineStr">
        <is>
          <t>Item Name</t>
        </is>
      </c>
      <c r="B1" s="10" t="inlineStr">
        <is>
          <t>Category</t>
        </is>
      </c>
      <c r="C1" s="10" t="inlineStr">
        <is>
          <t>Brand</t>
        </is>
      </c>
      <c r="D1" s="10" t="inlineStr">
        <is>
          <t>Model</t>
        </is>
      </c>
      <c r="E1" s="10" t="inlineStr">
        <is>
          <t>Condition</t>
        </is>
      </c>
      <c r="F1" s="11" t="inlineStr">
        <is>
          <t>Quick Sale $</t>
        </is>
      </c>
      <c r="G1" s="11" t="inlineStr">
        <is>
          <t>Market Price $</t>
        </is>
      </c>
      <c r="H1" s="11" t="inlineStr">
        <is>
          <t>Optimistic $</t>
        </is>
      </c>
      <c r="I1" s="11" t="inlineStr">
        <is>
          <t>Listed Price $</t>
        </is>
      </c>
      <c r="J1" s="12" t="inlineStr">
        <is>
          <t>Sold Price $</t>
        </is>
      </c>
      <c r="K1" s="10" t="inlineStr">
        <is>
          <t>Marketplace</t>
        </is>
      </c>
      <c r="L1" s="10" t="inlineStr">
        <is>
          <t>Status</t>
        </is>
      </c>
      <c r="M1" s="10" t="inlineStr">
        <is>
          <t>Date Added</t>
        </is>
      </c>
      <c r="N1" s="10" t="inlineStr">
        <is>
          <t>Date Listed</t>
        </is>
      </c>
      <c r="O1" s="10" t="inlineStr">
        <is>
          <t>Date Sold</t>
        </is>
      </c>
      <c r="P1" s="10" t="inlineStr">
        <is>
          <t>Listing URL</t>
        </is>
      </c>
      <c r="Q1" s="10" t="inlineStr">
        <is>
          <t>Photos Folder</t>
        </is>
      </c>
      <c r="R1" s="10" t="inlineStr">
        <is>
          <t>Notes</t>
        </is>
      </c>
    </row>
    <row r="2" ht="18" customHeight="1">
      <c r="A2" s="13" t="inlineStr">
        <is>
          <t>Paradigm Monitor 9 v.2 Tower Speakers (Pair)</t>
        </is>
      </c>
      <c r="B2" s="13" t="inlineStr">
        <is>
          <t>Audio / Home Theater</t>
        </is>
      </c>
      <c r="C2" s="13" t="inlineStr">
        <is>
          <t>Paradigm</t>
        </is>
      </c>
      <c r="D2" s="13" t="inlineStr">
        <is>
          <t>Monitor 9 v.2</t>
        </is>
      </c>
      <c r="E2" s="13" t="inlineStr">
        <is>
          <t>Very Good</t>
        </is>
      </c>
      <c r="F2" s="14" t="n">
        <v>300</v>
      </c>
      <c r="G2" s="14" t="n">
        <v>375</v>
      </c>
      <c r="H2" s="14" t="n">
        <v>475</v>
      </c>
      <c r="I2" s="14" t="n">
        <v>750</v>
      </c>
      <c r="J2" s="14" t="n"/>
      <c r="K2" s="13" t="inlineStr">
        <is>
          <t>FB Marketplace</t>
        </is>
      </c>
      <c r="L2" s="31" t="inlineStr">
        <is>
          <t>listed</t>
        </is>
      </c>
      <c r="M2" s="13" t="inlineStr">
        <is>
          <t>2026-03-13</t>
        </is>
      </c>
      <c r="N2" s="13" t="inlineStr">
        <is>
          <t>2026-03-19</t>
        </is>
      </c>
      <c r="O2" s="13" t="n"/>
      <c r="P2" s="13" t="inlineStr">
        <is>
          <t>https://www.facebook.com/marketplace/item/1585020142554515</t>
        </is>
      </c>
      <c r="Q2" s="13" t="inlineStr">
        <is>
          <t>Items to resell/Music Equipment</t>
        </is>
      </c>
      <c r="R2" s="13" t="inlineStr">
        <is>
          <t>FB: $700 (reduced from $750). 153 clicks. Active. No new messages. 13 FB listings flagged for renewal. Last checked: 2026-03-30.</t>
        </is>
      </c>
    </row>
    <row r="3" ht="18" customHeight="1">
      <c r="A3" s="16" t="inlineStr">
        <is>
          <t>Paradigm CC-370 v.2 Center Channel</t>
        </is>
      </c>
      <c r="B3" s="16" t="inlineStr">
        <is>
          <t>Audio / Home Theater</t>
        </is>
      </c>
      <c r="C3" s="16" t="inlineStr">
        <is>
          <t>Paradigm</t>
        </is>
      </c>
      <c r="D3" s="16" t="inlineStr">
        <is>
          <t>CC-370 v.2</t>
        </is>
      </c>
      <c r="E3" s="16" t="inlineStr">
        <is>
          <t>Very Good</t>
        </is>
      </c>
      <c r="F3" s="17" t="n">
        <v>100</v>
      </c>
      <c r="G3" s="17" t="n">
        <v>150</v>
      </c>
      <c r="H3" s="17" t="n">
        <v>225</v>
      </c>
      <c r="I3" s="17" t="n">
        <v>750</v>
      </c>
      <c r="J3" s="17" t="n"/>
      <c r="K3" s="16" t="inlineStr">
        <is>
          <t>FB Marketplace</t>
        </is>
      </c>
      <c r="L3" s="31" t="inlineStr">
        <is>
          <t>listed</t>
        </is>
      </c>
      <c r="M3" s="16" t="inlineStr">
        <is>
          <t>2026-03-13</t>
        </is>
      </c>
      <c r="N3" s="16" t="inlineStr">
        <is>
          <t>2026-03-19</t>
        </is>
      </c>
      <c r="O3" s="16" t="n"/>
      <c r="P3" s="16" t="inlineStr">
        <is>
          <t>https://www.facebook.com/marketplace/item/1585020142554515</t>
        </is>
      </c>
      <c r="Q3" s="16" t="inlineStr">
        <is>
          <t>Items to resell/Music Equipment</t>
        </is>
      </c>
      <c r="R3" s="16" t="inlineStr">
        <is>
          <t>Bundled with Monitor 9, PS-1000, Marantz — one listing at $750.</t>
        </is>
      </c>
    </row>
    <row r="4" ht="18" customHeight="1">
      <c r="A4" s="13" t="inlineStr">
        <is>
          <t>Paradigm PS-1000 v.3 Powered Subwoofer</t>
        </is>
      </c>
      <c r="B4" s="13" t="inlineStr">
        <is>
          <t>Audio / Home Theater</t>
        </is>
      </c>
      <c r="C4" s="13" t="inlineStr">
        <is>
          <t>Paradigm</t>
        </is>
      </c>
      <c r="D4" s="13" t="inlineStr">
        <is>
          <t>PS-1000 v.3</t>
        </is>
      </c>
      <c r="E4" s="13" t="inlineStr">
        <is>
          <t>Very Good</t>
        </is>
      </c>
      <c r="F4" s="14" t="n">
        <v>150</v>
      </c>
      <c r="G4" s="14" t="n">
        <v>200</v>
      </c>
      <c r="H4" s="14" t="n">
        <v>275</v>
      </c>
      <c r="I4" s="14" t="n">
        <v>750</v>
      </c>
      <c r="J4" s="14" t="n"/>
      <c r="K4" s="13" t="inlineStr">
        <is>
          <t>FB Marketplace</t>
        </is>
      </c>
      <c r="L4" s="31" t="inlineStr">
        <is>
          <t>listed</t>
        </is>
      </c>
      <c r="M4" s="13" t="inlineStr">
        <is>
          <t>2026-03-13</t>
        </is>
      </c>
      <c r="N4" s="13" t="inlineStr">
        <is>
          <t>2026-03-19</t>
        </is>
      </c>
      <c r="O4" s="13" t="n"/>
      <c r="P4" s="13" t="inlineStr">
        <is>
          <t>https://www.facebook.com/marketplace/item/1585020142554515</t>
        </is>
      </c>
      <c r="Q4" s="13" t="inlineStr">
        <is>
          <t>Items to resell/Music Equipment</t>
        </is>
      </c>
      <c r="R4" s="13" t="inlineStr">
        <is>
          <t>Bundled with Monitor 9, CC-370, Marantz — one listing at $750.</t>
        </is>
      </c>
    </row>
    <row r="5" ht="18" customHeight="1">
      <c r="A5" s="16" t="inlineStr">
        <is>
          <t>Marantz AV Receiver (SR-series)</t>
        </is>
      </c>
      <c r="B5" s="16" t="inlineStr">
        <is>
          <t>Audio / Home Theater</t>
        </is>
      </c>
      <c r="C5" s="16" t="inlineStr">
        <is>
          <t>Marantz</t>
        </is>
      </c>
      <c r="D5" s="16" t="inlineStr">
        <is>
          <t>SR5600 (approx)</t>
        </is>
      </c>
      <c r="E5" s="16" t="inlineStr">
        <is>
          <t>Good</t>
        </is>
      </c>
      <c r="F5" s="17" t="n">
        <v>100</v>
      </c>
      <c r="G5" s="17" t="n">
        <v>150</v>
      </c>
      <c r="H5" s="17" t="n">
        <v>200</v>
      </c>
      <c r="I5" s="17" t="n">
        <v>750</v>
      </c>
      <c r="J5" s="17" t="n"/>
      <c r="K5" s="16" t="inlineStr">
        <is>
          <t>FB Marketplace</t>
        </is>
      </c>
      <c r="L5" s="31" t="inlineStr">
        <is>
          <t>listed</t>
        </is>
      </c>
      <c r="M5" s="16" t="inlineStr">
        <is>
          <t>2026-03-13</t>
        </is>
      </c>
      <c r="N5" s="16" t="inlineStr">
        <is>
          <t>2026-03-19</t>
        </is>
      </c>
      <c r="O5" s="16" t="n"/>
      <c r="P5" s="16" t="inlineStr">
        <is>
          <t>https://www.facebook.com/marketplace/item/1585020142554515</t>
        </is>
      </c>
      <c r="Q5" s="16" t="inlineStr">
        <is>
          <t>Items to resell/Music Equipment</t>
        </is>
      </c>
      <c r="R5" s="16" t="inlineStr">
        <is>
          <t>Bundled with Paradigm Monitor 9, CC-370, PS-1000 — one listing at $750.</t>
        </is>
      </c>
    </row>
    <row r="6" ht="18" customHeight="1">
      <c r="A6" s="13" t="inlineStr">
        <is>
          <t>Tiffany Studios NY Desk Set (Venetian Pattern)</t>
        </is>
      </c>
      <c r="B6" s="13" t="inlineStr">
        <is>
          <t>Antiques / Decorative Arts</t>
        </is>
      </c>
      <c r="C6" s="13" t="inlineStr">
        <is>
          <t>Tiffany Studios</t>
        </is>
      </c>
      <c r="D6" s="13" t="inlineStr">
        <is>
          <t>Venetian #2111 / #1700-series</t>
        </is>
      </c>
      <c r="E6" s="13" t="inlineStr">
        <is>
          <t>Good - age-appropriate patina</t>
        </is>
      </c>
      <c r="F6" s="14" t="n">
        <v>1500</v>
      </c>
      <c r="G6" s="14" t="n">
        <v>4000</v>
      </c>
      <c r="H6" s="14" t="n">
        <v>8000</v>
      </c>
      <c r="I6" s="14" t="n"/>
      <c r="J6" s="14" t="n"/>
      <c r="K6" s="13" t="inlineStr">
        <is>
          <t>1stDibs / Auction House</t>
        </is>
      </c>
      <c r="L6" s="18" t="inlineStr">
        <is>
          <t>draft</t>
        </is>
      </c>
      <c r="M6" s="13" t="inlineStr">
        <is>
          <t>2026-03-13</t>
        </is>
      </c>
      <c r="N6" s="13" t="n"/>
      <c r="O6" s="13" t="n"/>
      <c r="P6" s="13" t="n"/>
      <c r="Q6" s="13" t="inlineStr">
        <is>
          <t>Items to resell/Tiffany</t>
        </is>
      </c>
      <c r="R6" s="13" t="inlineStr">
        <is>
          <t>Multiple pieces: inkwell w/ glass inserts, pen trays, stamp box, candelabra base. RECOMMEND PROFESSIONAL AUTHENTICATION before selling.</t>
        </is>
      </c>
    </row>
    <row r="7" ht="18" customHeight="1">
      <c r="A7" s="16" t="inlineStr">
        <is>
          <t>Singer Featherweight 221 Sewing Machine</t>
        </is>
      </c>
      <c r="B7" s="16" t="inlineStr">
        <is>
          <t>Sewing / Vintage Machines</t>
        </is>
      </c>
      <c r="C7" s="16" t="inlineStr">
        <is>
          <t>Singer</t>
        </is>
      </c>
      <c r="D7" s="16" t="inlineStr">
        <is>
          <t>Featherweight 221</t>
        </is>
      </c>
      <c r="E7" s="16" t="inlineStr">
        <is>
          <t>Very Good</t>
        </is>
      </c>
      <c r="F7" s="17" t="n">
        <v>300</v>
      </c>
      <c r="G7" s="17" t="n">
        <v>550</v>
      </c>
      <c r="H7" s="17" t="n">
        <v>900</v>
      </c>
      <c r="I7" s="17" t="n">
        <v>380</v>
      </c>
      <c r="J7" s="17" t="n">
        <v>342</v>
      </c>
      <c r="K7" s="16" t="inlineStr">
        <is>
          <t>eBay</t>
        </is>
      </c>
      <c r="L7" s="19" t="inlineStr">
        <is>
          <t>sold</t>
        </is>
      </c>
      <c r="M7" s="16" t="inlineStr">
        <is>
          <t>2026-03-13</t>
        </is>
      </c>
      <c r="N7" s="16" t="n"/>
      <c r="O7" s="16" t="n"/>
      <c r="P7" s="16" t="inlineStr">
        <is>
          <t>https://www.ebay.com/itm/298122784143</t>
        </is>
      </c>
      <c r="Q7" s="16" t="inlineStr">
        <is>
          <t>Items to resell/Sowing Machine</t>
        </is>
      </c>
      <c r="R7" s="16" t="inlineStr">
        <is>
          <t>SOLD to mari88530 (Maria Lara Rivas) for $342. Order #12-14372-41895. Ship by Thu Mar 19. Payment received Mar 16. Last checked: 2026-03-16.</t>
        </is>
      </c>
    </row>
    <row r="8" ht="18" customHeight="1">
      <c r="A8" s="13" t="inlineStr">
        <is>
          <t>Itzchak Tarkay "Tea for Two" Signed Lithograph</t>
        </is>
      </c>
      <c r="B8" s="13" t="inlineStr">
        <is>
          <t>Art / Prints</t>
        </is>
      </c>
      <c r="C8" s="13" t="inlineStr">
        <is>
          <t>Itzchak Tarkay</t>
        </is>
      </c>
      <c r="D8" s="13" t="inlineStr">
        <is>
          <t>Tea for Two - Ltd Ed Lithograph</t>
        </is>
      </c>
      <c r="E8" s="13" t="inlineStr">
        <is>
          <t>Very Good</t>
        </is>
      </c>
      <c r="F8" s="14" t="n">
        <v>150</v>
      </c>
      <c r="G8" s="14" t="n">
        <v>350</v>
      </c>
      <c r="H8" s="14" t="n">
        <v>700</v>
      </c>
      <c r="I8" s="14" t="n">
        <v>350</v>
      </c>
      <c r="J8" s="14" t="n"/>
      <c r="K8" s="13" t="inlineStr">
        <is>
          <t>eBay + FB Marketplace</t>
        </is>
      </c>
      <c r="L8" s="31" t="inlineStr">
        <is>
          <t>listed</t>
        </is>
      </c>
      <c r="M8" s="13" t="inlineStr">
        <is>
          <t>2026-03-13</t>
        </is>
      </c>
      <c r="N8" s="13" t="inlineStr">
        <is>
          <t>2026-03-19</t>
        </is>
      </c>
      <c r="O8" s="13" t="n"/>
      <c r="P8" s="13" t="inlineStr">
        <is>
          <t>https://www.facebook.com/marketplace/item/1571562920579007</t>
        </is>
      </c>
      <c r="Q8" s="13" t="inlineStr">
        <is>
          <t>Items to resell/Painting</t>
        </is>
      </c>
      <c r="R8" s="13" t="inlineStr">
        <is>
          <t>FB: $325 (reduced from $350), 42 clicks. Active. Last checked: 2026-03-30.</t>
        </is>
      </c>
    </row>
    <row r="9" ht="18" customHeight="1">
      <c r="A9" s="16" t="inlineStr">
        <is>
          <t>Asian Shadow Box Display Cabinet</t>
        </is>
      </c>
      <c r="B9" s="16" t="inlineStr">
        <is>
          <t>Furniture / Decor</t>
        </is>
      </c>
      <c r="C9" s="16" t="inlineStr">
        <is>
          <t>Unknown</t>
        </is>
      </c>
      <c r="D9" s="16" t="inlineStr">
        <is>
          <t>Wall-mount curio display</t>
        </is>
      </c>
      <c r="E9" s="16" t="inlineStr">
        <is>
          <t>Good</t>
        </is>
      </c>
      <c r="F9" s="17" t="n">
        <v>250</v>
      </c>
      <c r="G9" s="17" t="n">
        <v>400</v>
      </c>
      <c r="H9" s="17" t="n">
        <v>550</v>
      </c>
      <c r="I9" s="17" t="n">
        <v>400</v>
      </c>
      <c r="J9" s="17" t="n"/>
      <c r="K9" s="16" t="inlineStr">
        <is>
          <t>FB Marketplace</t>
        </is>
      </c>
      <c r="L9" s="31" t="inlineStr">
        <is>
          <t>listed</t>
        </is>
      </c>
      <c r="M9" s="16" t="inlineStr">
        <is>
          <t>2026-03-13</t>
        </is>
      </c>
      <c r="N9" s="16" t="inlineStr">
        <is>
          <t>2026-03-19</t>
        </is>
      </c>
      <c r="O9" s="16" t="n"/>
      <c r="P9" s="16" t="inlineStr">
        <is>
          <t>https://www.facebook.com/marketplace/item/1616552336289478</t>
        </is>
      </c>
      <c r="Q9" s="16" t="inlineStr">
        <is>
          <t>Items to resell/Other Art</t>
        </is>
      </c>
      <c r="R9" s="16" t="inlineStr">
        <is>
          <t>FB: $350 (reduced from $400). 33 clicks. Active. Last checked: 2026-03-30.</t>
        </is>
      </c>
    </row>
    <row r="10" ht="18" customHeight="1">
      <c r="A10" s="7" t="n"/>
      <c r="B10" s="7" t="n"/>
      <c r="C10" s="27" t="n"/>
      <c r="D10" s="27" t="n"/>
      <c r="E10" s="27" t="n"/>
      <c r="F10" s="21" t="n"/>
      <c r="G10" s="21" t="n"/>
      <c r="H10" s="21" t="n"/>
      <c r="I10" s="21" t="n"/>
      <c r="J10" s="22" t="n"/>
      <c r="K10" s="7" t="n"/>
      <c r="L10" s="7" t="n"/>
      <c r="M10" s="7" t="n"/>
      <c r="N10" s="27" t="n"/>
      <c r="O10" s="27" t="n"/>
      <c r="P10" s="27" t="n"/>
      <c r="Q10" s="27" t="n"/>
      <c r="R10" s="7" t="n"/>
    </row>
    <row r="11" ht="18.75" customHeight="1">
      <c r="A11" s="5" t="inlineStr">
        <is>
          <t>TOTALS</t>
        </is>
      </c>
      <c r="B11" s="7" t="n"/>
      <c r="C11" s="27" t="n"/>
      <c r="D11" s="27" t="n"/>
      <c r="E11" s="27" t="n"/>
      <c r="F11" s="6">
        <f>SUM(F2:F9)</f>
        <v/>
      </c>
      <c r="G11" s="6">
        <f>SUM(G2:G9)</f>
        <v/>
      </c>
      <c r="H11" s="6">
        <f>SUM(H2:H9)</f>
        <v/>
      </c>
      <c r="I11" s="21" t="n"/>
      <c r="J11" s="22" t="n"/>
      <c r="K11" s="7" t="n"/>
      <c r="L11" s="7" t="n"/>
      <c r="M11" s="7" t="n"/>
      <c r="N11" s="27" t="n"/>
      <c r="O11" s="27" t="n"/>
      <c r="P11" s="27" t="n"/>
      <c r="Q11" s="27" t="n"/>
      <c r="R11" s="7" t="n"/>
    </row>
    <row r="12" ht="18.75" customHeight="1">
      <c r="A12" s="5" t="inlineStr">
        <is>
          <t>Oversized Tapestry Club Chair</t>
        </is>
      </c>
      <c r="B12" s="5" t="inlineStr">
        <is>
          <t>Furniture / Home Decor</t>
        </is>
      </c>
      <c r="C12" s="27" t="n"/>
      <c r="D12" s="27" t="n"/>
      <c r="E12" s="5" t="inlineStr">
        <is>
          <t>Very Good</t>
        </is>
      </c>
      <c r="F12" s="23" t="n">
        <v>75</v>
      </c>
      <c r="G12" s="23" t="n">
        <v>125</v>
      </c>
      <c r="H12" s="23" t="n">
        <v>175</v>
      </c>
      <c r="I12" s="23" t="n">
        <v>125</v>
      </c>
      <c r="J12" s="22" t="n"/>
      <c r="K12" s="5" t="inlineStr">
        <is>
          <t>FB Marketplace</t>
        </is>
      </c>
      <c r="L12" s="30" t="inlineStr">
        <is>
          <t>listed</t>
        </is>
      </c>
      <c r="M12" s="5" t="inlineStr">
        <is>
          <t>2026-03-15</t>
        </is>
      </c>
      <c r="N12" s="27" t="inlineStr">
        <is>
          <t>2026-03-19</t>
        </is>
      </c>
      <c r="O12" s="27" t="n"/>
      <c r="P12" s="5" t="inlineStr">
        <is>
          <t>https://www.facebook.com/marketplace/item/2781152878894043</t>
        </is>
      </c>
      <c r="Q12" s="5" t="inlineStr">
        <is>
          <t>Listing Photos/tapestry-club-chair</t>
        </is>
      </c>
      <c r="R12" s="5" t="inlineStr">
        <is>
          <t>Old FB account - user handling separately. 61 clicks. Last checked: 2026-03-27.</t>
        </is>
      </c>
    </row>
    <row r="13" ht="18.75" customHeight="1">
      <c r="A13" s="5" t="inlineStr">
        <is>
          <t>Geometric Pushback Recliner</t>
        </is>
      </c>
      <c r="B13" s="5" t="inlineStr">
        <is>
          <t>Furniture / Home Decor</t>
        </is>
      </c>
      <c r="C13" s="27" t="n"/>
      <c r="D13" s="27" t="n"/>
      <c r="E13" s="5" t="inlineStr">
        <is>
          <t>Very Good</t>
        </is>
      </c>
      <c r="F13" s="23" t="n">
        <v>100</v>
      </c>
      <c r="G13" s="23" t="n">
        <v>150</v>
      </c>
      <c r="H13" s="23" t="n">
        <v>225</v>
      </c>
      <c r="I13" s="23" t="n">
        <v>150</v>
      </c>
      <c r="J13" s="22" t="n"/>
      <c r="K13" s="5" t="inlineStr">
        <is>
          <t>FB Marketplace</t>
        </is>
      </c>
      <c r="L13" s="30" t="inlineStr">
        <is>
          <t>listed</t>
        </is>
      </c>
      <c r="M13" s="5" t="inlineStr">
        <is>
          <t>2026-03-15</t>
        </is>
      </c>
      <c r="N13" s="27" t="inlineStr">
        <is>
          <t>2026-03-19</t>
        </is>
      </c>
      <c r="O13" s="27" t="n"/>
      <c r="P13" s="5" t="inlineStr">
        <is>
          <t>https://www.facebook.com/marketplace/item/3975772839389217</t>
        </is>
      </c>
      <c r="Q13" s="5" t="inlineStr">
        <is>
          <t>Listing Photos/geometric-pushback-recliner</t>
        </is>
      </c>
      <c r="R13" s="5" t="inlineStr">
        <is>
          <t>FB: 45 clicks. No messages. Last checked: 2026-03-27.</t>
        </is>
      </c>
    </row>
    <row r="14" ht="18.75" customHeight="1">
      <c r="A14" s="5" t="inlineStr">
        <is>
          <t>Mashad Fine Persian Rug (11'6" x 16')</t>
        </is>
      </c>
      <c r="B14" s="5" t="inlineStr">
        <is>
          <t>Rugs / Home Decor</t>
        </is>
      </c>
      <c r="C14" s="5" t="inlineStr">
        <is>
          <t>Designer Rugs Limited</t>
        </is>
      </c>
      <c r="D14" s="5" t="inlineStr">
        <is>
          <t>Mashad (Fine) - Handmade Persian</t>
        </is>
      </c>
      <c r="E14" s="5" t="inlineStr">
        <is>
          <t>Very Good</t>
        </is>
      </c>
      <c r="F14" s="23" t="n">
        <v>6000</v>
      </c>
      <c r="G14" s="23" t="n">
        <v>10000</v>
      </c>
      <c r="H14" s="23" t="n">
        <v>18000</v>
      </c>
      <c r="I14" s="21" t="n">
        <v>10000</v>
      </c>
      <c r="J14" s="22" t="n"/>
      <c r="K14" s="5" t="inlineStr">
        <is>
          <t>FB Marketplace</t>
        </is>
      </c>
      <c r="L14" s="30" t="inlineStr">
        <is>
          <t>listed</t>
        </is>
      </c>
      <c r="M14" s="5" t="inlineStr">
        <is>
          <t>2026-03-16</t>
        </is>
      </c>
      <c r="N14" s="27" t="inlineStr">
        <is>
          <t>2026-03-19</t>
        </is>
      </c>
      <c r="O14" s="27" t="n"/>
      <c r="P14" s="27" t="inlineStr">
        <is>
          <t>https://www.facebook.com/marketplace/item/875609515482127</t>
        </is>
      </c>
      <c r="Q14" s="5" t="inlineStr">
        <is>
          <t>items/mashad-persian-rug-11x16</t>
        </is>
      </c>
      <c r="R14" s="5" t="inlineStr">
        <is>
          <t>FB: Active at $10,000. No new messages. Last checked: 2026-03-27.</t>
        </is>
      </c>
    </row>
    <row r="15" ht="18.75" customHeight="1">
      <c r="A15" s="5" t="inlineStr">
        <is>
          <t>Chinese Flambe Glaze Vase 27.5in</t>
        </is>
      </c>
      <c r="B15" s="5" t="inlineStr">
        <is>
          <t>Art / Decor</t>
        </is>
      </c>
      <c r="C15" s="27" t="n"/>
      <c r="D15" s="27" t="n"/>
      <c r="E15" s="27" t="inlineStr">
        <is>
          <t>Used - Good</t>
        </is>
      </c>
      <c r="F15" s="23" t="n">
        <v>250</v>
      </c>
      <c r="G15" s="23" t="n">
        <v>450</v>
      </c>
      <c r="H15" s="23" t="n">
        <v>700</v>
      </c>
      <c r="I15" s="23" t="n">
        <v>450</v>
      </c>
      <c r="J15" s="22" t="n"/>
      <c r="K15" s="5" t="inlineStr">
        <is>
          <t>FB Marketplace</t>
        </is>
      </c>
      <c r="L15" s="30" t="inlineStr">
        <is>
          <t>listed</t>
        </is>
      </c>
      <c r="M15" s="5" t="inlineStr">
        <is>
          <t>2026-03-17</t>
        </is>
      </c>
      <c r="N15" s="27" t="inlineStr">
        <is>
          <t>2026-03-19</t>
        </is>
      </c>
      <c r="O15" s="27" t="n"/>
      <c r="P15" s="27" t="inlineStr">
        <is>
          <t>https://www.facebook.com/marketplace/item/2430087930754566</t>
        </is>
      </c>
      <c r="Q15" s="27" t="inlineStr">
        <is>
          <t>items/art-glass-vase-27-12-tall-top-opening-6-wide-11-wide</t>
        </is>
      </c>
      <c r="R15" s="5" t="inlineStr">
        <is>
          <t>Curiouser &amp; Curiouser dealer sticker $750 retail. Jingdezhen sang de boeuf, 4-char seal mark on base.</t>
        </is>
      </c>
    </row>
    <row r="16">
      <c r="A16" t="inlineStr">
        <is>
          <t>Oriental Silk Prayer Rug 37.5x56.5</t>
        </is>
      </c>
      <c r="B16" t="inlineStr">
        <is>
          <t>Rugs &gt; Oriental &gt; Prayer Rugs</t>
        </is>
      </c>
      <c r="E16" t="inlineStr">
        <is>
          <t>Used - Good</t>
        </is>
      </c>
      <c r="G16" t="n">
        <v>225</v>
      </c>
      <c r="I16" t="n">
        <v>225</v>
      </c>
      <c r="K16" t="inlineStr">
        <is>
          <t>FB Marketplace</t>
        </is>
      </c>
      <c r="L16" s="32" t="inlineStr">
        <is>
          <t>listed</t>
        </is>
      </c>
      <c r="M16" t="inlineStr">
        <is>
          <t>2026-03-17</t>
        </is>
      </c>
      <c r="N16" t="inlineStr">
        <is>
          <t>2026-03-19</t>
        </is>
      </c>
      <c r="P16" t="inlineStr">
        <is>
          <t>https://www.facebook.com/marketplace/item/1258134445860417</t>
        </is>
      </c>
      <c r="Q16" t="inlineStr">
        <is>
          <t>items/oriental-37-12-x-56-12</t>
        </is>
      </c>
      <c r="R16" t="inlineStr">
        <is>
          <t>FB listing expired (external URL shows unavailable). Needs renewal. eBay: 4 views, 0 watchers. Last checked: 2026-03-30.</t>
        </is>
      </c>
    </row>
    <row r="17">
      <c r="A17" t="inlineStr">
        <is>
          <t>Stone Top Coffee Table Set 49x29.5 + Side Table 27x27</t>
        </is>
      </c>
      <c r="B17" t="inlineStr">
        <is>
          <t>Furniture &gt; Tables &gt; Coffee Tables</t>
        </is>
      </c>
      <c r="E17" t="inlineStr">
        <is>
          <t>Used - Good</t>
        </is>
      </c>
      <c r="G17" t="n">
        <v>210</v>
      </c>
      <c r="I17" t="n">
        <v>210</v>
      </c>
      <c r="K17" t="inlineStr">
        <is>
          <t>FB Marketplace</t>
        </is>
      </c>
      <c r="L17" s="32" t="inlineStr">
        <is>
          <t>listed</t>
        </is>
      </c>
      <c r="M17" t="inlineStr">
        <is>
          <t>2026-03-17</t>
        </is>
      </c>
      <c r="N17" t="inlineStr">
        <is>
          <t>2026-03-19</t>
        </is>
      </c>
      <c r="P17" t="inlineStr">
        <is>
          <t>https://www.facebook.com/marketplace/item/1291397416387369</t>
        </is>
      </c>
      <c r="Q17" t="inlineStr">
        <is>
          <t>items/stone-top-coffee-table-with-built-in-lower-shelf-matching-si</t>
        </is>
      </c>
    </row>
    <row r="18">
      <c r="A18" t="inlineStr">
        <is>
          <t>Handwoven Striped Rug 30.5x57</t>
        </is>
      </c>
      <c r="B18" t="inlineStr">
        <is>
          <t>Rugs &gt; Flatweave &gt; Handwoven</t>
        </is>
      </c>
      <c r="E18" t="inlineStr">
        <is>
          <t>Used - Good</t>
        </is>
      </c>
      <c r="G18" t="n">
        <v>75</v>
      </c>
      <c r="I18" t="n">
        <v>75</v>
      </c>
      <c r="K18" t="inlineStr">
        <is>
          <t>FB Marketplace</t>
        </is>
      </c>
      <c r="L18" s="32" t="inlineStr">
        <is>
          <t>listed</t>
        </is>
      </c>
      <c r="M18" t="inlineStr">
        <is>
          <t>2026-03-17</t>
        </is>
      </c>
      <c r="N18" t="inlineStr">
        <is>
          <t>2026-03-19</t>
        </is>
      </c>
      <c r="P18" t="inlineStr">
        <is>
          <t>https://www.facebook.com/marketplace/item/1306171418224751</t>
        </is>
      </c>
      <c r="Q18" t="inlineStr">
        <is>
          <t>items/rug-30-12-x-57</t>
        </is>
      </c>
      <c r="R18" t="inlineStr">
        <is>
          <t>FB active. eBay active. Scam msg from marg_8120 (reported). User replied 'Striped 2' — hold instruction noted. Last checked: 2026-03-30.</t>
        </is>
      </c>
    </row>
    <row r="19">
      <c r="A19" t="inlineStr">
        <is>
          <t>Afghan Turkish Kilim Square 39x39</t>
        </is>
      </c>
      <c r="B19" t="inlineStr">
        <is>
          <t>Rugs &gt; Kilims &gt; Geometric</t>
        </is>
      </c>
      <c r="E19" t="inlineStr">
        <is>
          <t>Used - Good</t>
        </is>
      </c>
      <c r="G19" t="n">
        <v>250</v>
      </c>
      <c r="I19" t="n">
        <v>250</v>
      </c>
      <c r="K19" t="inlineStr">
        <is>
          <t>FB Marketplace</t>
        </is>
      </c>
      <c r="L19" s="32" t="inlineStr">
        <is>
          <t>listed</t>
        </is>
      </c>
      <c r="M19" t="inlineStr">
        <is>
          <t>2026-03-17</t>
        </is>
      </c>
      <c r="N19" t="inlineStr">
        <is>
          <t>2026-03-19</t>
        </is>
      </c>
      <c r="P19" t="inlineStr">
        <is>
          <t>https://www.facebook.com/marketplace/item/4295315460740523</t>
        </is>
      </c>
      <c r="Q19" t="inlineStr">
        <is>
          <t>items/oriental-rug-39-x-39</t>
        </is>
      </c>
      <c r="R19" t="inlineStr">
        <is>
          <t>FB listing expired (external URL shows unavailable). Needs renewal. Last checked: 2026-03-30.</t>
        </is>
      </c>
    </row>
    <row r="20">
      <c r="A20" t="inlineStr">
        <is>
          <t>Turkish Anatolian Pile Rug 30x55.5</t>
        </is>
      </c>
      <c r="B20" t="inlineStr">
        <is>
          <t>Rugs &gt; Oriental &gt; Turkish</t>
        </is>
      </c>
      <c r="E20" t="inlineStr">
        <is>
          <t>Used - Good</t>
        </is>
      </c>
      <c r="G20" t="n">
        <v>195</v>
      </c>
      <c r="I20" t="n">
        <v>195</v>
      </c>
      <c r="K20" t="inlineStr">
        <is>
          <t>FB Marketplace</t>
        </is>
      </c>
      <c r="L20" s="32" t="inlineStr">
        <is>
          <t>listed</t>
        </is>
      </c>
      <c r="M20" t="inlineStr">
        <is>
          <t>2026-03-17</t>
        </is>
      </c>
      <c r="N20" t="inlineStr">
        <is>
          <t>2026-03-19</t>
        </is>
      </c>
      <c r="P20" t="inlineStr">
        <is>
          <t>https://www.facebook.com/marketplace/item/917663117719976</t>
        </is>
      </c>
      <c r="Q20" t="inlineStr">
        <is>
          <t>items/oriental-rug-30-x-55-12</t>
        </is>
      </c>
      <c r="R20" t="inlineStr">
        <is>
          <t>FB listing expired (external URL shows unavailable). Needs renewal. Better photos from Lynn saved to items/. Last checked: 2026-03-30.</t>
        </is>
      </c>
    </row>
    <row r="21">
      <c r="A21" t="inlineStr">
        <is>
          <t>Colorful Turkish Kilim 28x44</t>
        </is>
      </c>
      <c r="B21" t="inlineStr">
        <is>
          <t>Rugs &gt; Kilims &gt; Geometric</t>
        </is>
      </c>
      <c r="E21" t="inlineStr">
        <is>
          <t>Used - Good</t>
        </is>
      </c>
      <c r="G21" t="n">
        <v>140</v>
      </c>
      <c r="I21" t="n">
        <v>140</v>
      </c>
      <c r="K21" t="inlineStr">
        <is>
          <t>FB Marketplace</t>
        </is>
      </c>
      <c r="L21" s="32" t="inlineStr">
        <is>
          <t>listed</t>
        </is>
      </c>
      <c r="M21" t="inlineStr">
        <is>
          <t>2026-03-17</t>
        </is>
      </c>
      <c r="N21" t="inlineStr">
        <is>
          <t>2026-03-19</t>
        </is>
      </c>
      <c r="P21" t="inlineStr">
        <is>
          <t>https://www.facebook.com/marketplace/item/1236650981995574</t>
        </is>
      </c>
      <c r="Q21" t="inlineStr">
        <is>
          <t>items/oriental-rug-28-x-44</t>
        </is>
      </c>
      <c r="R21" t="inlineStr">
        <is>
          <t>FB listing expired (external URL shows unavailable). Needs renewal. Last checked: 2026-03-30.</t>
        </is>
      </c>
    </row>
    <row r="22">
      <c r="A22" t="inlineStr">
        <is>
          <t>Ahmady Hand-Knotted Persian Rug 29x37</t>
        </is>
      </c>
      <c r="B22" t="inlineStr">
        <is>
          <t>Rugs &gt; Oriental &gt; Persian</t>
        </is>
      </c>
      <c r="E22" t="inlineStr">
        <is>
          <t>Used - Good</t>
        </is>
      </c>
      <c r="G22" t="n">
        <v>250</v>
      </c>
      <c r="I22" t="n">
        <v>250</v>
      </c>
      <c r="K22" t="inlineStr">
        <is>
          <t>FB Marketplace</t>
        </is>
      </c>
      <c r="L22" s="32" t="inlineStr">
        <is>
          <t>listed</t>
        </is>
      </c>
      <c r="M22" t="inlineStr">
        <is>
          <t>2026-03-17</t>
        </is>
      </c>
      <c r="N22" t="inlineStr">
        <is>
          <t>2026-03-19</t>
        </is>
      </c>
      <c r="P22" t="inlineStr">
        <is>
          <t>https://www.facebook.com/marketplace/item/911121191540382</t>
        </is>
      </c>
      <c r="Q22" t="inlineStr">
        <is>
          <t>items/oriental-rug-29-x-37</t>
        </is>
      </c>
      <c r="R22" t="inlineStr">
        <is>
          <t>FB listing expired/unavailable. Needs renewal. Abdul asked best price Mar 24 — replied $250 Mar 25. No response since. Last checked: 2026-03-30.</t>
        </is>
      </c>
    </row>
    <row r="23">
      <c r="A23" t="inlineStr">
        <is>
          <t>Persian Pile Rug Medallion 29x35</t>
        </is>
      </c>
      <c r="B23" t="inlineStr">
        <is>
          <t>Rugs &gt; Oriental &gt; Persian</t>
        </is>
      </c>
      <c r="E23" t="inlineStr">
        <is>
          <t>Used - Good</t>
        </is>
      </c>
      <c r="G23" t="n">
        <v>285</v>
      </c>
      <c r="I23" t="n">
        <v>285</v>
      </c>
      <c r="K23" t="inlineStr">
        <is>
          <t>FB Marketplace</t>
        </is>
      </c>
      <c r="L23" s="32" t="inlineStr">
        <is>
          <t>listed</t>
        </is>
      </c>
      <c r="M23" t="inlineStr">
        <is>
          <t>2026-03-17</t>
        </is>
      </c>
      <c r="N23" t="inlineStr">
        <is>
          <t>2026-03-19</t>
        </is>
      </c>
      <c r="P23" t="inlineStr">
        <is>
          <t>https://www.facebook.com/marketplace/item/1456069612967803</t>
        </is>
      </c>
      <c r="Q23" t="inlineStr">
        <is>
          <t>items/oriental-rug-29-x-35</t>
        </is>
      </c>
      <c r="R23" t="inlineStr">
        <is>
          <t>Better photos received from Lynn (saved to items/). Update listing photos when possible.</t>
        </is>
      </c>
    </row>
    <row r="24">
      <c r="A24" t="inlineStr">
        <is>
          <t>Baluchi Flat Bag 27x29 Double-Sided</t>
        </is>
      </c>
      <c r="B24" t="inlineStr">
        <is>
          <t>Rugs &gt; Tribal Bags &gt; Baluchi</t>
        </is>
      </c>
      <c r="E24" t="inlineStr">
        <is>
          <t>Used - Good</t>
        </is>
      </c>
      <c r="G24" t="n">
        <v>225</v>
      </c>
      <c r="I24" t="n">
        <v>225</v>
      </c>
      <c r="K24" t="inlineStr">
        <is>
          <t>FB Marketplace</t>
        </is>
      </c>
      <c r="L24" s="32" t="inlineStr">
        <is>
          <t>listed</t>
        </is>
      </c>
      <c r="M24" t="inlineStr">
        <is>
          <t>2026-03-17</t>
        </is>
      </c>
      <c r="N24" t="inlineStr">
        <is>
          <t>2026-03-19</t>
        </is>
      </c>
      <c r="P24" t="inlineStr">
        <is>
          <t>https://www.facebook.com/marketplace/item/864521629953555</t>
        </is>
      </c>
      <c r="Q24" t="inlineStr">
        <is>
          <t>items/oriental-bag-27-x-29</t>
        </is>
      </c>
      <c r="R24" t="inlineStr">
        <is>
          <t>eBay: 2 views, 0 watchers, 23d left. $325 BIN/OBO. No offers. Last checked: 2026-03-27.</t>
        </is>
      </c>
    </row>
    <row r="25">
      <c r="A25" t="inlineStr">
        <is>
          <t>Oriental Khorjin Saddle Bag 25x20.5 each panel</t>
        </is>
      </c>
      <c r="B25" t="inlineStr">
        <is>
          <t>Rugs &gt; Tribal Bags &gt; Khorjin</t>
        </is>
      </c>
      <c r="E25" t="inlineStr">
        <is>
          <t>Used - Good</t>
        </is>
      </c>
      <c r="G25" t="n">
        <v>375</v>
      </c>
      <c r="I25" t="n">
        <v>375</v>
      </c>
      <c r="K25" t="inlineStr">
        <is>
          <t>FB Marketplace</t>
        </is>
      </c>
      <c r="L25" s="32" t="inlineStr">
        <is>
          <t>listed</t>
        </is>
      </c>
      <c r="M25" t="inlineStr">
        <is>
          <t>2026-03-17</t>
        </is>
      </c>
      <c r="N25" t="inlineStr">
        <is>
          <t>2026-03-19</t>
        </is>
      </c>
      <c r="P25" t="inlineStr">
        <is>
          <t>https://www.facebook.com/marketplace/item/796264936376988</t>
        </is>
      </c>
      <c r="Q25" t="inlineStr">
        <is>
          <t>items/oriental-rug-saddle-bag-each-side-is-25-x-20-12-there-are-po</t>
        </is>
      </c>
      <c r="R25" t="inlineStr">
        <is>
          <t>eBay: 2 views, 0 watchers, 23d left. $550 BIN/OBO. No offers. Last checked: 2026-03-27.</t>
        </is>
      </c>
    </row>
    <row r="26">
      <c r="A26" t="inlineStr">
        <is>
          <t>Baluchi Tribal Mat 17x24</t>
        </is>
      </c>
      <c r="B26" t="inlineStr">
        <is>
          <t>Rugs &gt; Oriental &gt; Baluchi</t>
        </is>
      </c>
      <c r="E26" t="inlineStr">
        <is>
          <t>Used - Good</t>
        </is>
      </c>
      <c r="G26" t="n">
        <v>75</v>
      </c>
      <c r="I26" t="n">
        <v>75</v>
      </c>
      <c r="K26" t="inlineStr">
        <is>
          <t>FB Marketplace</t>
        </is>
      </c>
      <c r="L26" s="32" t="inlineStr">
        <is>
          <t>listed</t>
        </is>
      </c>
      <c r="M26" t="inlineStr">
        <is>
          <t>2026-03-17</t>
        </is>
      </c>
      <c r="N26" t="inlineStr">
        <is>
          <t>2026-03-19</t>
        </is>
      </c>
      <c r="P26" t="inlineStr">
        <is>
          <t>https://www.facebook.com/marketplace/item/784453008054227</t>
        </is>
      </c>
      <c r="Q26" t="inlineStr">
        <is>
          <t>items/oriental-rug-17-x-24</t>
        </is>
      </c>
      <c r="R26" t="inlineStr">
        <is>
          <t>Better photos received from Lynn (saved to items/baluchi-tribal-mat-17x24/). Update listing photos when possible.</t>
        </is>
      </c>
    </row>
    <row r="27">
      <c r="A27" t="inlineStr">
        <is>
          <t>Persian Floral Mat 23.5x25.5</t>
        </is>
      </c>
      <c r="B27" t="inlineStr">
        <is>
          <t>Rugs &gt; Oriental &gt; Floral</t>
        </is>
      </c>
      <c r="E27" t="inlineStr">
        <is>
          <t>Used - Good</t>
        </is>
      </c>
      <c r="G27" t="n">
        <v>65</v>
      </c>
      <c r="I27" t="n">
        <v>65</v>
      </c>
      <c r="K27" t="inlineStr">
        <is>
          <t>FB Marketplace</t>
        </is>
      </c>
      <c r="L27" s="32" t="inlineStr">
        <is>
          <t>listed</t>
        </is>
      </c>
      <c r="M27" t="inlineStr">
        <is>
          <t>2026-03-17</t>
        </is>
      </c>
      <c r="N27" t="inlineStr">
        <is>
          <t>2026-03-19</t>
        </is>
      </c>
      <c r="P27" t="inlineStr">
        <is>
          <t>https://www.facebook.com/marketplace/item/1159619476157372</t>
        </is>
      </c>
      <c r="Q27" t="inlineStr">
        <is>
          <t>items/oriental-rug-measure-18-x-24</t>
        </is>
      </c>
      <c r="R27" t="inlineStr">
        <is>
          <t>Better photos received from Lynn (saved to items/). Update listing photos when possible.</t>
        </is>
      </c>
    </row>
    <row r="28">
      <c r="A28" t="inlineStr">
        <is>
          <t>Chinese Floral Wool Scatter Mat 18x24</t>
        </is>
      </c>
      <c r="B28" t="inlineStr">
        <is>
          <t>Rugs / Home Decor</t>
        </is>
      </c>
      <c r="F28" t="n">
        <v>50</v>
      </c>
      <c r="G28" t="n">
        <v>95</v>
      </c>
      <c r="H28" t="n">
        <v>150</v>
      </c>
      <c r="I28" t="n">
        <v>95</v>
      </c>
      <c r="K28" t="inlineStr">
        <is>
          <t>FB Marketplace</t>
        </is>
      </c>
      <c r="L28" s="35" t="inlineStr">
        <is>
          <t>draft</t>
        </is>
      </c>
      <c r="M28" t="inlineStr">
        <is>
          <t>2026-03-20</t>
        </is>
      </c>
      <c r="Q28" t="inlineStr">
        <is>
          <t>items/chinese-floral-mat-18x24</t>
        </is>
      </c>
      <c r="R28" t="inlineStr">
        <is>
          <t>Updated photos received from Lynn. Still a draft — needs to be published on FB Marketplace.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bestFit="1" customWidth="1" style="7" min="1" max="1"/>
    <col width="20" bestFit="1" customWidth="1" style="8" min="2" max="2"/>
  </cols>
  <sheetData>
    <row r="1" ht="17.25" customHeight="1">
      <c r="A1" s="33" t="inlineStr">
        <is>
          <t>Resell Inventory Summary</t>
        </is>
      </c>
    </row>
    <row r="2" ht="18" customHeight="1">
      <c r="A2" t="inlineStr">
        <is>
          <t>Last Updated:</t>
        </is>
      </c>
      <c r="B2" t="inlineStr">
        <is>
          <t>2026-03-19</t>
        </is>
      </c>
    </row>
    <row r="3" ht="15" customHeight="1"/>
    <row r="4" ht="15" customHeight="1">
      <c r="A4" s="34" t="inlineStr">
        <is>
          <t>COUNTS</t>
        </is>
      </c>
    </row>
    <row r="5" ht="15" customHeight="1">
      <c r="A5" t="inlineStr">
        <is>
          <t>Total Items:</t>
        </is>
      </c>
      <c r="B5">
        <f>COUNTA(Inventory!A2:A25)-COUNTIF(Inventory!A2:A25,"TOTALS")</f>
        <v/>
      </c>
    </row>
    <row r="6" ht="15" customHeight="1">
      <c r="A6" t="inlineStr">
        <is>
          <t>Listed:</t>
        </is>
      </c>
      <c r="B6">
        <f>COUNTIF(Inventory!L2:L25,"listed")</f>
        <v/>
      </c>
    </row>
    <row r="7" ht="15" customHeight="1">
      <c r="A7" t="inlineStr">
        <is>
          <t>Sold:</t>
        </is>
      </c>
      <c r="B7">
        <f>COUNTIF(Inventory!L2:L25,"sold")</f>
        <v/>
      </c>
    </row>
    <row r="8" ht="15" customHeight="1">
      <c r="A8" t="inlineStr">
        <is>
          <t>Draft:</t>
        </is>
      </c>
      <c r="B8">
        <f>COUNTIF(Inventory!L2:L25,"draft")</f>
        <v/>
      </c>
    </row>
    <row r="9" ht="15" customHeight="1"/>
    <row r="10">
      <c r="A10" s="34" t="inlineStr">
        <is>
          <t>VALUATIONS (active listings only)</t>
        </is>
      </c>
    </row>
    <row r="11">
      <c r="A11" t="inlineStr">
        <is>
          <t>Quick Sale Total:</t>
        </is>
      </c>
      <c r="B11">
        <f>SUMIF(Inventory!L2:L25,"listed",Inventory!F2:F25)</f>
        <v/>
      </c>
    </row>
    <row r="12">
      <c r="A12" t="inlineStr">
        <is>
          <t>Market Price Total:</t>
        </is>
      </c>
      <c r="B12">
        <f>SUMIF(Inventory!L2:L25,"listed",Inventory!G2:G25)</f>
        <v/>
      </c>
    </row>
    <row r="13">
      <c r="A13" t="inlineStr">
        <is>
          <t>Optimistic Total:</t>
        </is>
      </c>
      <c r="B13">
        <f>SUMIF(Inventory!L2:L25,"listed",Inventory!H2:H25)</f>
        <v/>
      </c>
    </row>
    <row r="15">
      <c r="A15" s="34" t="inlineStr">
        <is>
          <t>SOLD</t>
        </is>
      </c>
    </row>
    <row r="16">
      <c r="A16" t="inlineStr">
        <is>
          <t>Total Sold Revenue:</t>
        </is>
      </c>
      <c r="B16">
        <f>SUMIF(Inventory!L2:L25,"sold",Inventory!J2:J25)</f>
        <v/>
      </c>
    </row>
    <row r="18">
      <c r="A18" s="34" t="inlineStr">
        <is>
          <t>PLATFORMS</t>
        </is>
      </c>
    </row>
    <row r="19">
      <c r="A19" t="inlineStr">
        <is>
          <t>On FB Marketplace:</t>
        </is>
      </c>
      <c r="B19">
        <f>COUNTIFS(Inventory!K2:K25,"FB Marketplace",Inventory!L2:L25,"listed")</f>
        <v/>
      </c>
    </row>
    <row r="20">
      <c r="A20" t="inlineStr">
        <is>
          <t>On eBay:</t>
        </is>
      </c>
      <c r="B20">
        <f>COUNTIFS(Inventory!K2:K25,"eBay",Inventory!L2:L25,"listed")</f>
        <v/>
      </c>
    </row>
    <row r="21">
      <c r="A21" t="inlineStr">
        <is>
          <t>On Both:</t>
        </is>
      </c>
      <c r="B21">
        <f>COUNTIFS(Inventory!K2:K25,"eBay + FB Marketplace",Inventory!L2:L25,"listed")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2026-03-18T00:11:04Z</dcterms:created>
  <dcterms:modified xmlns:dcterms="http://purl.org/dc/terms/" xmlns:xsi="http://www.w3.org/2001/XMLSchema-instance" xsi:type="dcterms:W3CDTF">2026-03-30T13:08:07Z</dcterms:modified>
</cp:coreProperties>
</file>