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6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</fonts>
  <fills count="9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  <xf numFmtId="0" fontId="0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7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/>
      <c r="J2" s="14" t="n"/>
      <c r="K2" s="13" t="inlineStr">
        <is>
          <t>FB Marketplace</t>
        </is>
      </c>
      <c r="L2" s="15" t="inlineStr">
        <is>
          <t>manual</t>
        </is>
      </c>
      <c r="M2" s="13" t="inlineStr">
        <is>
          <t>2026-03-13</t>
        </is>
      </c>
      <c r="N2" s="13" t="n"/>
      <c r="O2" s="13" t="n"/>
      <c r="P2" s="13" t="n"/>
      <c r="Q2" s="13" t="inlineStr">
        <is>
          <t>Items to resell/Music Equipment</t>
        </is>
      </c>
      <c r="R2" s="13" t="inlineStr">
        <is>
          <t>Old FB account - user handling separately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/>
      <c r="J3" s="17" t="n"/>
      <c r="K3" s="16" t="inlineStr">
        <is>
          <t>FB Marketplace</t>
        </is>
      </c>
      <c r="L3" s="15" t="inlineStr">
        <is>
          <t>manual</t>
        </is>
      </c>
      <c r="M3" s="16" t="inlineStr">
        <is>
          <t>2026-03-13</t>
        </is>
      </c>
      <c r="N3" s="16" t="n"/>
      <c r="O3" s="16" t="n"/>
      <c r="P3" s="16" t="n"/>
      <c r="Q3" s="16" t="inlineStr">
        <is>
          <t>Items to resell/Music Equipment</t>
        </is>
      </c>
      <c r="R3" s="16" t="inlineStr">
        <is>
          <t>Old FB account - user handling separately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/>
      <c r="J4" s="14" t="n"/>
      <c r="K4" s="13" t="inlineStr">
        <is>
          <t>FB Marketplace</t>
        </is>
      </c>
      <c r="L4" s="15" t="inlineStr">
        <is>
          <t>manual</t>
        </is>
      </c>
      <c r="M4" s="13" t="inlineStr">
        <is>
          <t>2026-03-13</t>
        </is>
      </c>
      <c r="N4" s="13" t="n"/>
      <c r="O4" s="13" t="n"/>
      <c r="P4" s="13" t="n"/>
      <c r="Q4" s="13" t="inlineStr">
        <is>
          <t>Items to resell/Music Equipment</t>
        </is>
      </c>
      <c r="R4" s="13" t="inlineStr">
        <is>
          <t>Old FB account - user handling separately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/>
      <c r="J5" s="17" t="n"/>
      <c r="K5" s="16" t="inlineStr">
        <is>
          <t>FB Marketplace</t>
        </is>
      </c>
      <c r="L5" s="15" t="inlineStr">
        <is>
          <t>manual</t>
        </is>
      </c>
      <c r="M5" s="16" t="inlineStr">
        <is>
          <t>2026-03-13</t>
        </is>
      </c>
      <c r="N5" s="16" t="n"/>
      <c r="O5" s="16" t="n"/>
      <c r="P5" s="16" t="n"/>
      <c r="Q5" s="16" t="inlineStr">
        <is>
          <t>Items to resell/Music Equipment</t>
        </is>
      </c>
      <c r="R5" s="16" t="inlineStr">
        <is>
          <t>Old FB account - managed from MacBook Air (bundled with Paradigm home theater)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</t>
        </is>
      </c>
      <c r="L8" s="31" t="inlineStr">
        <is>
          <t>listed</t>
        </is>
      </c>
      <c r="M8" s="13" t="inlineStr">
        <is>
          <t>2026-03-13</t>
        </is>
      </c>
      <c r="N8" s="13" t="n"/>
      <c r="O8" s="13" t="n"/>
      <c r="P8" s="13" t="inlineStr">
        <is>
          <t>https://www.ebay.com/itm/298122793101</t>
        </is>
      </c>
      <c r="Q8" s="13" t="inlineStr">
        <is>
          <t>Items to resell/Painting</t>
        </is>
      </c>
      <c r="R8" s="13" t="inlineStr"/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15" t="inlineStr">
        <is>
          <t>manual</t>
        </is>
      </c>
      <c r="M9" s="16" t="inlineStr">
        <is>
          <t>2026-03-13</t>
        </is>
      </c>
      <c r="N9" s="16" t="n"/>
      <c r="O9" s="16" t="n"/>
      <c r="P9" s="16" t="n"/>
      <c r="Q9" s="16" t="inlineStr">
        <is>
          <t>Items to resell/Other Art</t>
        </is>
      </c>
      <c r="R9" s="16" t="inlineStr">
        <is>
          <t>Old FB account - user handling separately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24" t="inlineStr">
        <is>
          <t>manual</t>
        </is>
      </c>
      <c r="M12" s="5" t="inlineStr">
        <is>
          <t>2026-03-15</t>
        </is>
      </c>
      <c r="N12" s="27" t="n"/>
      <c r="O12" s="27" t="n"/>
      <c r="P12" s="5" t="inlineStr">
        <is>
          <t>https://www.facebook.com/marketplace/item/1906061356703947</t>
        </is>
      </c>
      <c r="Q12" s="5" t="inlineStr">
        <is>
          <t>Listing Photos/tapestry-club-chair</t>
        </is>
      </c>
      <c r="R12" s="5" t="inlineStr">
        <is>
          <t>Old FB account - user handling separately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manual</t>
        </is>
      </c>
      <c r="M13" s="5" t="inlineStr">
        <is>
          <t>2026-03-15</t>
        </is>
      </c>
      <c r="N13" s="27" t="n"/>
      <c r="O13" s="27" t="n"/>
      <c r="P13" s="5" t="inlineStr">
        <is>
          <t>https://www.facebook.com/marketplace/item/1255615856540782</t>
        </is>
      </c>
      <c r="Q13" s="5" t="inlineStr">
        <is>
          <t>Listing Photos/geometric-pushback-recliner</t>
        </is>
      </c>
      <c r="R13" s="5" t="inlineStr">
        <is>
          <t>Old FB account - managed from MacBook Air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/>
      <c r="J14" s="22" t="n"/>
      <c r="K14" s="5" t="inlineStr">
        <is>
          <t>FB Marketplace / Chairish</t>
        </is>
      </c>
      <c r="L14" s="25" t="inlineStr">
        <is>
          <t>ready</t>
        </is>
      </c>
      <c r="M14" s="5" t="inlineStr">
        <is>
          <t>2026-03-16</t>
        </is>
      </c>
      <c r="N14" s="27" t="n"/>
      <c r="O14" s="27" t="n"/>
      <c r="P14" s="27" t="n"/>
      <c r="Q14" s="5" t="inlineStr">
        <is>
          <t>items/mashad-persian-rug-11x16</t>
        </is>
      </c>
      <c r="R14" s="5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n"/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26" t="inlineStr">
        <is>
          <t>ready</t>
        </is>
      </c>
      <c r="M15" s="5" t="inlineStr">
        <is>
          <t>2026-03-17</t>
        </is>
      </c>
      <c r="N15" s="27" t="n"/>
      <c r="O15" s="27" t="n"/>
      <c r="P15" s="27" t="n"/>
      <c r="Q15" s="27" t="inlineStr">
        <is>
          <t>items/art-glass-vase-27-12-tall-top-opening-6-wide-11-wide</t>
        </is>
      </c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G16" t="n">
        <v>225</v>
      </c>
      <c r="K16" t="inlineStr">
        <is>
          <t>eBay</t>
        </is>
      </c>
      <c r="L16" s="32" t="inlineStr">
        <is>
          <t>listed</t>
        </is>
      </c>
      <c r="M16" t="inlineStr">
        <is>
          <t>2026-03-17</t>
        </is>
      </c>
      <c r="P16" t="inlineStr">
        <is>
          <t>https://www.ebay.com/itm/298141825438</t>
        </is>
      </c>
      <c r="Q16" t="inlineStr">
        <is>
          <t>items/oriental-37-12-x-56-12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G17" t="n">
        <v>210</v>
      </c>
      <c r="K17" t="inlineStr">
        <is>
          <t>FB Marketplace</t>
        </is>
      </c>
      <c r="L17" t="inlineStr">
        <is>
          <t>ready</t>
        </is>
      </c>
      <c r="M17" t="inlineStr">
        <is>
          <t>2026-03-17</t>
        </is>
      </c>
      <c r="Q17" t="inlineStr">
        <is>
          <t>items/stone-top-coffee-table-with-built-in-lower-shelf-matching-si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G18" t="n">
        <v>75</v>
      </c>
      <c r="K18" t="inlineStr">
        <is>
          <t>eBay</t>
        </is>
      </c>
      <c r="L18" s="32" t="inlineStr">
        <is>
          <t>listed</t>
        </is>
      </c>
      <c r="M18" t="inlineStr">
        <is>
          <t>2026-03-17</t>
        </is>
      </c>
      <c r="P18" t="inlineStr">
        <is>
          <t>https://www.ebay.com/itm/298141824552</t>
        </is>
      </c>
      <c r="Q18" t="inlineStr">
        <is>
          <t>items/rug-30-12-x-57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G19" t="n">
        <v>250</v>
      </c>
      <c r="K19" t="inlineStr">
        <is>
          <t>FB Marketplace</t>
        </is>
      </c>
      <c r="L19" s="32" t="inlineStr">
        <is>
          <t>listed</t>
        </is>
      </c>
      <c r="M19" t="inlineStr">
        <is>
          <t>2026-03-17</t>
        </is>
      </c>
      <c r="P19" t="inlineStr">
        <is>
          <t>https://www.facebook.com/marketplace/item/4295315460740523</t>
        </is>
      </c>
      <c r="Q19" t="inlineStr">
        <is>
          <t>items/oriental-rug-39-x-39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G20" t="n">
        <v>195</v>
      </c>
      <c r="K20" t="inlineStr">
        <is>
          <t>FB Marketplace</t>
        </is>
      </c>
      <c r="L20" s="32" t="inlineStr">
        <is>
          <t>listed</t>
        </is>
      </c>
      <c r="M20" t="inlineStr">
        <is>
          <t>2026-03-17</t>
        </is>
      </c>
      <c r="P20" t="inlineStr">
        <is>
          <t>https://www.facebook.com/marketplace/item/917663117719976</t>
        </is>
      </c>
      <c r="Q20" t="inlineStr">
        <is>
          <t>items/oriental-rug-30-x-55-12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G21" t="n">
        <v>140</v>
      </c>
      <c r="K21" t="inlineStr">
        <is>
          <t>FB Marketplace</t>
        </is>
      </c>
      <c r="L21" s="32" t="inlineStr">
        <is>
          <t>listed</t>
        </is>
      </c>
      <c r="M21" t="inlineStr">
        <is>
          <t>2026-03-17</t>
        </is>
      </c>
      <c r="P21" t="inlineStr">
        <is>
          <t>https://www.facebook.com/marketplace/item/1236650981995574</t>
        </is>
      </c>
      <c r="Q21" t="inlineStr">
        <is>
          <t>items/oriental-rug-28-x-44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G22" t="n">
        <v>250</v>
      </c>
      <c r="K22" t="inlineStr">
        <is>
          <t>FB Marketplace</t>
        </is>
      </c>
      <c r="L22" s="32" t="inlineStr">
        <is>
          <t>listed</t>
        </is>
      </c>
      <c r="M22" t="inlineStr">
        <is>
          <t>2026-03-17</t>
        </is>
      </c>
      <c r="P22" t="inlineStr">
        <is>
          <t>https://www.facebook.com/marketplace/item/911121191540382</t>
        </is>
      </c>
      <c r="Q22" t="inlineStr">
        <is>
          <t>items/oriental-rug-29-x-37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G23" t="n">
        <v>285</v>
      </c>
      <c r="K23" t="inlineStr">
        <is>
          <t>FB Marketplace</t>
        </is>
      </c>
      <c r="L23" s="32" t="inlineStr">
        <is>
          <t>listed</t>
        </is>
      </c>
      <c r="M23" t="inlineStr">
        <is>
          <t>2026-03-17</t>
        </is>
      </c>
      <c r="P23" t="inlineStr">
        <is>
          <t>https://www.facebook.com/marketplace/item/1456069612967803</t>
        </is>
      </c>
      <c r="Q23" t="inlineStr">
        <is>
          <t>items/oriental-rug-29-x-35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G24" t="n">
        <v>225</v>
      </c>
      <c r="K24" t="inlineStr">
        <is>
          <t>eBay</t>
        </is>
      </c>
      <c r="L24" s="32" t="inlineStr">
        <is>
          <t>listed</t>
        </is>
      </c>
      <c r="M24" t="inlineStr">
        <is>
          <t>2026-03-17</t>
        </is>
      </c>
      <c r="P24" t="inlineStr">
        <is>
          <t>https://www.ebay.com/itm/298141797227</t>
        </is>
      </c>
      <c r="Q24" t="inlineStr">
        <is>
          <t>items/oriental-bag-27-x-29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G25" t="n">
        <v>375</v>
      </c>
      <c r="K25" t="inlineStr">
        <is>
          <t>eBay</t>
        </is>
      </c>
      <c r="L25" s="32" t="inlineStr">
        <is>
          <t>listed</t>
        </is>
      </c>
      <c r="M25" t="inlineStr">
        <is>
          <t>2026-03-17</t>
        </is>
      </c>
      <c r="P25" t="inlineStr">
        <is>
          <t>https://www.ebay.com/itm/298141796002</t>
        </is>
      </c>
      <c r="Q25" t="inlineStr">
        <is>
          <t>items/oriental-rug-saddle-bag-each-side-is-25-x-20-12-there-are-po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G26" t="n">
        <v>75</v>
      </c>
      <c r="K26" t="inlineStr">
        <is>
          <t>FB Marketplace</t>
        </is>
      </c>
      <c r="L26" s="32" t="inlineStr">
        <is>
          <t>listed</t>
        </is>
      </c>
      <c r="M26" t="inlineStr">
        <is>
          <t>2026-03-17</t>
        </is>
      </c>
      <c r="P26" t="inlineStr">
        <is>
          <t>https://www.facebook.com/marketplace/item/784453008054227</t>
        </is>
      </c>
      <c r="Q26" t="inlineStr">
        <is>
          <t>items/oriental-rug-17-x-24</t>
        </is>
      </c>
    </row>
    <row r="27">
      <c r="A27" t="inlineStr">
        <is>
          <t>Persian Floral Mat 18x24</t>
        </is>
      </c>
      <c r="B27" t="inlineStr">
        <is>
          <t>Rugs &gt; Oriental &gt; Floral</t>
        </is>
      </c>
      <c r="G27" t="n">
        <v>65</v>
      </c>
      <c r="K27" t="inlineStr">
        <is>
          <t>FB Marketplace</t>
        </is>
      </c>
      <c r="L27" s="32" t="inlineStr">
        <is>
          <t>listed</t>
        </is>
      </c>
      <c r="M27" t="inlineStr">
        <is>
          <t>2026-03-17</t>
        </is>
      </c>
      <c r="P27" t="inlineStr">
        <is>
          <t>https://www.facebook.com/marketplace/item/1159619476157372</t>
        </is>
      </c>
      <c r="Q27" t="inlineStr">
        <is>
          <t>items/oriental-rug-measure-18-x-24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9"/>
  <sheetViews>
    <sheetView workbookViewId="0">
      <selection activeCell="A1" sqref="A1"/>
    </sheetView>
  </sheetViews>
  <sheetFormatPr baseColWidth="8" defaultRowHeight="15"/>
  <cols>
    <col width="28.005" bestFit="1" customWidth="1" style="7" min="1" max="1"/>
    <col width="15.005" bestFit="1" customWidth="1" style="8" min="2" max="2"/>
  </cols>
  <sheetData>
    <row r="1" ht="17.25" customHeight="1">
      <c r="A1" s="1" t="inlineStr">
        <is>
          <t>Resell Inventory Summary</t>
        </is>
      </c>
      <c r="B1" s="8" t="n"/>
    </row>
    <row r="2" ht="18" customHeight="1">
      <c r="A2" s="7" t="n"/>
      <c r="B2" s="8" t="n"/>
    </row>
    <row r="3" ht="15" customHeight="1">
      <c r="A3" s="5" t="inlineStr">
        <is>
          <t>Total Items:</t>
        </is>
      </c>
      <c r="B3" s="5">
        <f>COUNTA(Inventory!A2:A9)</f>
        <v/>
      </c>
    </row>
    <row r="4" ht="15" customHeight="1">
      <c r="A4" s="5" t="inlineStr">
        <is>
          <t>Listed:</t>
        </is>
      </c>
      <c r="B4" s="5">
        <f>COUNTIF(Inventory!L2:L9,"listed")</f>
        <v/>
      </c>
    </row>
    <row r="5" ht="15" customHeight="1">
      <c r="A5" s="5" t="inlineStr">
        <is>
          <t>Sold:</t>
        </is>
      </c>
      <c r="B5" s="5">
        <f>COUNTIF(Inventory!L2:L9,"sold")</f>
        <v/>
      </c>
    </row>
    <row r="6" ht="15" customHeight="1">
      <c r="A6" s="5" t="inlineStr">
        <is>
          <t>Draft:</t>
        </is>
      </c>
      <c r="B6" s="5">
        <f>COUNTIF(Inventory!L2:L9,"draft")</f>
        <v/>
      </c>
    </row>
    <row r="7" ht="15" customHeight="1">
      <c r="A7" s="5" t="inlineStr">
        <is>
          <t>Est. Total (Quick Sale):</t>
        </is>
      </c>
      <c r="B7" s="6">
        <f>SUM(Inventory!F2:F9)</f>
        <v/>
      </c>
    </row>
    <row r="8" ht="15" customHeight="1">
      <c r="A8" s="5" t="inlineStr">
        <is>
          <t>Est. Total (Market):</t>
        </is>
      </c>
      <c r="B8" s="6">
        <f>SUM(Inventory!G2:G9)</f>
        <v/>
      </c>
    </row>
    <row r="9" ht="15" customHeight="1">
      <c r="A9" s="5" t="inlineStr">
        <is>
          <t>Est. Total (Optimistic):</t>
        </is>
      </c>
      <c r="B9" s="6">
        <f>SUM(Inventory!H2:H9)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2026-03-18T00:11:04Z</dcterms:created>
  <dcterms:modified xmlns:dcterms="http://purl.org/dc/terms/" xmlns:xsi="http://www.w3.org/2001/XMLSchema-instance" xsi:type="dcterms:W3CDTF">2026-03-19T23:59:20Z</dcterms:modified>
</cp:coreProperties>
</file>