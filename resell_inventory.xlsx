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<sst xmlns="http://schemas.openxmlformats.org/spreadsheetml/2006/main" count="137" uniqueCount="95">
  <si>
    <t xml:space="preserve">Item Name</t>
  </si>
  <si>
    <t xml:space="preserve">Category</t>
  </si>
  <si>
    <t xml:space="preserve">Brand</t>
  </si>
  <si>
    <t xml:space="preserve">Model</t>
  </si>
  <si>
    <t xml:space="preserve">Condition</t>
  </si>
  <si>
    <t xml:space="preserve">Quick Sale $</t>
  </si>
  <si>
    <t xml:space="preserve">Market Price $</t>
  </si>
  <si>
    <t xml:space="preserve">Optimistic $</t>
  </si>
  <si>
    <t xml:space="preserve">Listed Price $</t>
  </si>
  <si>
    <t xml:space="preserve">Sold Price $</t>
  </si>
  <si>
    <t xml:space="preserve">Marketplace</t>
  </si>
  <si>
    <t xml:space="preserve">Status</t>
  </si>
  <si>
    <t xml:space="preserve">Date Added</t>
  </si>
  <si>
    <t xml:space="preserve">Date Listed</t>
  </si>
  <si>
    <t xml:space="preserve">Date Sold</t>
  </si>
  <si>
    <t xml:space="preserve">Listing URL</t>
  </si>
  <si>
    <t xml:space="preserve">Photos Folder</t>
  </si>
  <si>
    <t xml:space="preserve">Notes</t>
  </si>
  <si>
    <t xml:space="preserve">Paradigm Monitor 9 v.2 Tower Speakers (Pair)</t>
  </si>
  <si>
    <t xml:space="preserve">Audio / Home Theater</t>
  </si>
  <si>
    <t xml:space="preserve">Paradigm</t>
  </si>
  <si>
    <t xml:space="preserve">Monitor 9 v.2</t>
  </si>
  <si>
    <t xml:space="preserve">Very Good</t>
  </si>
  <si>
    <t xml:space="preserve">FB Marketplace</t>
  </si>
  <si>
    <t xml:space="preserve">listed</t>
  </si>
  <si>
    <t xml:space="preserve">2026-03-13</t>
  </si>
  <si>
    <t xml:space="preserve">Items to resell/Music Equipment</t>
  </si>
  <si>
    <t xml:space="preserve">Bundle listing at $800 (272 clicks on FB — strong interest). Carter asked about buying floor speakers separately — replied 3/16: '$375/pair, interested?'. David confirmed ok to sell individually. Last checked: 2026-03-16.</t>
  </si>
  <si>
    <t xml:space="preserve">Paradigm CC-370 v.2 Center Channel</t>
  </si>
  <si>
    <t xml:space="preserve">CC-370 v.2</t>
  </si>
  <si>
    <t xml:space="preserve">Listed as bundle at $800 on FB Marketplace (3/13). 272 clicks on bundle. David confirmed ok to sell pieces individually if needed. Last checked: 2026-03-16.</t>
  </si>
  <si>
    <t xml:space="preserve">Paradigm PS-1000 v.3 Powered Subwoofer</t>
  </si>
  <si>
    <t xml:space="preserve">PS-1000 v.3</t>
  </si>
  <si>
    <t xml:space="preserve">Marantz AV Receiver (SR-series)</t>
  </si>
  <si>
    <t xml:space="preserve">Marantz</t>
  </si>
  <si>
    <t xml:space="preserve">SR5600 (approx)</t>
  </si>
  <si>
    <t xml:space="preserve">Good</t>
  </si>
  <si>
    <t xml:space="preserve">Tiffany Studios NY Desk Set (Venetian Pattern)</t>
  </si>
  <si>
    <t xml:space="preserve">Antiques / Decorative Arts</t>
  </si>
  <si>
    <t xml:space="preserve">Tiffany Studios</t>
  </si>
  <si>
    <t xml:space="preserve">Venetian #2111 / #1700-series</t>
  </si>
  <si>
    <t xml:space="preserve">Good - age-appropriate patina</t>
  </si>
  <si>
    <t xml:space="preserve">1stDibs / Auction House</t>
  </si>
  <si>
    <t xml:space="preserve">draft</t>
  </si>
  <si>
    <t xml:space="preserve">Items to resell/Tiffany</t>
  </si>
  <si>
    <t xml:space="preserve">Multiple pieces: inkwell w/ glass inserts, pen trays, stamp box, candelabra base. RECOMMEND PROFESSIONAL AUTHENTICATION before selling.</t>
  </si>
  <si>
    <t xml:space="preserve">Singer Featherweight 221 Sewing Machine</t>
  </si>
  <si>
    <t xml:space="preserve">Sewing / Vintage Machines</t>
  </si>
  <si>
    <t xml:space="preserve">Singer</t>
  </si>
  <si>
    <t xml:space="preserve">Featherweight 221</t>
  </si>
  <si>
    <t xml:space="preserve">eBay</t>
  </si>
  <si>
    <t xml:space="preserve">sold</t>
  </si>
  <si>
    <t xml:space="preserve">https://www.ebay.com/itm/298122784143</t>
  </si>
  <si>
    <t xml:space="preserve">Items to resell/Sowing Machine</t>
  </si>
  <si>
    <t xml:space="preserve">SOLD to mari88530 (Maria Lara Rivas) for $342. Order #12-14372-41895. Ship by Thu Mar 19. Payment received Mar 16. Last checked: 2026-03-16.</t>
  </si>
  <si>
    <t xml:space="preserve">Itzchak Tarkay "Tea for Two" Signed Lithograph</t>
  </si>
  <si>
    <t xml:space="preserve">Art / Prints</t>
  </si>
  <si>
    <t xml:space="preserve">Itzchak Tarkay</t>
  </si>
  <si>
    <t xml:space="preserve">Tea for Two - Ltd Ed Lithograph</t>
  </si>
  <si>
    <t xml:space="preserve">https://www.ebay.com/itm/298122793101</t>
  </si>
  <si>
    <t xml:space="preserve">Items to resell/Painting</t>
  </si>
  <si>
    <t xml:space="preserve">1 view, 0 watchers — still very low engagement 2 days in. No offers or messages. Consider price review if no activity by 3/21. Last checked: 2026-03-16.</t>
  </si>
  <si>
    <t xml:space="preserve">Asian Shadow Box Display Cabinet</t>
  </si>
  <si>
    <t xml:space="preserve">Furniture / Decor</t>
  </si>
  <si>
    <t xml:space="preserve">Unknown</t>
  </si>
  <si>
    <t xml:space="preserve">Wall-mount curio display</t>
  </si>
  <si>
    <t xml:space="preserve">Items to resell/Other Art</t>
  </si>
  <si>
    <t xml:space="preserve">54 clicks on listing. Merrisa Allmond asked 'is this still available?' — replied 3/16: 'Yes, still available!' Last checked: 2026-03-16.</t>
  </si>
  <si>
    <t xml:space="preserve">TOTALS</t>
  </si>
  <si>
    <t xml:space="preserve">Oversized Tapestry Club Chair</t>
  </si>
  <si>
    <t xml:space="preserve">Furniture / Home Decor</t>
  </si>
  <si>
    <t xml:space="preserve">2026-03-15</t>
  </si>
  <si>
    <t xml:space="preserve">https://www.facebook.com/marketplace/item/1906061356703947</t>
  </si>
  <si>
    <t xml:space="preserve">Listing Photos/tapestry-club-chair</t>
  </si>
  <si>
    <t xml:space="preserve">26 clicks on listing. Active — no messages today. Last checked: 2026-03-16.</t>
  </si>
  <si>
    <t xml:space="preserve">Geometric Pushback Recliner</t>
  </si>
  <si>
    <t xml:space="preserve">https://www.facebook.com/marketplace/item/1255615856540782</t>
  </si>
  <si>
    <t xml:space="preserve">Listing Photos/geometric-pushback-recliner</t>
  </si>
  <si>
    <t xml:space="preserve">15 clicks on listing. Active — no messages today. Last checked: 2026-03-16.</t>
  </si>
  <si>
    <t xml:space="preserve">Mashad Fine Persian Rug (11'6" x 16')</t>
  </si>
  <si>
    <t xml:space="preserve">Rugs / Home Decor</t>
  </si>
  <si>
    <t xml:space="preserve">Designer Rugs Limited</t>
  </si>
  <si>
    <t xml:space="preserve">Mashad (Fine) - Handmade Persian</t>
  </si>
  <si>
    <t xml:space="preserve">FB Marketplace / Chairish</t>
  </si>
  <si>
    <t xml:space="preserve">2026-03-16</t>
  </si>
  <si>
    <t xml:space="preserve">items/mashad-persian-rug-11x16</t>
  </si>
  <si>
    <t xml:space="preserve">Handmade wool Persian Mashad rug, 11'6" x 16' (~184 sq ft). Purchased April 1999 from Designer Rugs Ltd for $24,000-$27,000. Provenance: original receipt + signed letter from Shahnaz at Designer Rugs Limited (Apr 17 2000) confirming "Mashad (Fine) Persian, Size: 11.6 x 16". Deep navy/indigo field, intricate floral medallion, ivory border w/ red/rust accents. NOTE: Do NOT list on eBay (Iran embargo). Best platforms: FB Marketplace (fast/local) or Chairish (higher price). Recommend professional cleaning + new flat-lay photos before listing. Research file: items/mashad-persian-rug-11x16/RESEARCH.md. Last updated: 2026-03-16.</t>
  </si>
  <si>
    <t xml:space="preserve">Resell Inventory Summary</t>
  </si>
  <si>
    <t xml:space="preserve">Total Items:</t>
  </si>
  <si>
    <t xml:space="preserve">Listed:</t>
  </si>
  <si>
    <t xml:space="preserve">Sold:</t>
  </si>
  <si>
    <t xml:space="preserve">Draft:</t>
  </si>
  <si>
    <t xml:space="preserve">Est. Total (Quick Sale):</t>
  </si>
  <si>
    <t xml:space="preserve">Est. Total (Market):</t>
  </si>
  <si>
    <t xml:space="preserve">Est. Total (Optimistic):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</si>
</sst>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4"/>
      <name val="Calibri"/>
      <family val="0"/>
      <charset val="1"/>
    </font>
    <font>
      <sz val="1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F8F9FA"/>
        <bgColor rgb="FFFFFFFF"/>
      </patternFill>
    </fill>
    <fill>
      <patternFill patternType="solid">
        <fgColor rgb="FFD4EDDA"/>
        <bgColor rgb="FFD1ECF1"/>
      </patternFill>
    </fill>
    <fill>
      <patternFill patternType="solid">
        <fgColor rgb="FFFFF3CD"/>
        <bgColor rgb="FFF8F9FA"/>
      </patternFill>
    </fill>
    <fill>
      <patternFill patternType="solid">
        <fgColor rgb="FFD1ECF1"/>
        <bgColor rgb="FFD4EDDA"/>
      </patternFill>
    </fill>
    <fill>
      <patternFill patternType="solid">
        <fgColor rgb="FFFFE4A0"/>
        <bgColor rgb="FFFFF3C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D1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D4EDDA"/>
      <rgbColor rgb="FFFFFF99"/>
      <rgbColor rgb="FF99CCFF"/>
      <rgbColor rgb="FFFF99CC"/>
      <rgbColor rgb="FFCC99FF"/>
      <rgbColor rgb="FFFFE4A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0"/>
    <col collapsed="false" customWidth="true" hidden="false" outlineLevel="0" max="3" min="3" style="1" width="15"/>
    <col collapsed="false" customWidth="true" hidden="false" outlineLevel="0" max="4" min="4" style="1" width="20"/>
    <col collapsed="false" customWidth="true" hidden="false" outlineLevel="0" max="10" min="5" style="1" width="12"/>
    <col collapsed="false" customWidth="true" hidden="false" outlineLevel="0" max="11" min="11" style="1" width="18"/>
    <col collapsed="false" customWidth="true" hidden="false" outlineLevel="0" max="15" min="12" style="1" width="12"/>
    <col collapsed="false" customWidth="true" hidden="false" outlineLevel="0" max="16" min="16" style="1" width="35"/>
    <col collapsed="false" customWidth="true" hidden="false" outlineLevel="0" max="18" min="17" style="1" width="30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5" hidden="false" customHeight="true" outlineLevel="0" collapsed="false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4" t="n">
        <v>300</v>
      </c>
      <c r="G2" s="4" t="n">
        <v>375</v>
      </c>
      <c r="H2" s="4" t="n">
        <v>475</v>
      </c>
      <c r="I2" s="4"/>
      <c r="J2" s="4"/>
      <c r="K2" s="3" t="s">
        <v>23</v>
      </c>
      <c r="L2" s="5" t="s">
        <v>24</v>
      </c>
      <c r="M2" s="3" t="s">
        <v>25</v>
      </c>
      <c r="N2" s="3"/>
      <c r="O2" s="3"/>
      <c r="P2" s="3"/>
      <c r="Q2" s="3" t="s">
        <v>26</v>
      </c>
      <c r="R2" s="3" t="s">
        <v>27</v>
      </c>
    </row>
    <row r="3" customFormat="false" ht="15" hidden="false" customHeight="true" outlineLevel="0" collapsed="false">
      <c r="A3" s="6" t="s">
        <v>28</v>
      </c>
      <c r="B3" s="6" t="s">
        <v>19</v>
      </c>
      <c r="C3" s="6" t="s">
        <v>20</v>
      </c>
      <c r="D3" s="6" t="s">
        <v>29</v>
      </c>
      <c r="E3" s="6" t="s">
        <v>22</v>
      </c>
      <c r="F3" s="7" t="n">
        <v>100</v>
      </c>
      <c r="G3" s="7" t="n">
        <v>150</v>
      </c>
      <c r="H3" s="7" t="n">
        <v>225</v>
      </c>
      <c r="I3" s="7"/>
      <c r="J3" s="7"/>
      <c r="K3" s="6" t="s">
        <v>23</v>
      </c>
      <c r="L3" s="5" t="s">
        <v>24</v>
      </c>
      <c r="M3" s="6" t="s">
        <v>25</v>
      </c>
      <c r="N3" s="6"/>
      <c r="O3" s="6"/>
      <c r="P3" s="6"/>
      <c r="Q3" s="6" t="s">
        <v>26</v>
      </c>
      <c r="R3" s="6" t="s">
        <v>30</v>
      </c>
    </row>
    <row r="4" customFormat="false" ht="15" hidden="false" customHeight="true" outlineLevel="0" collapsed="false">
      <c r="A4" s="3" t="s">
        <v>31</v>
      </c>
      <c r="B4" s="3" t="s">
        <v>19</v>
      </c>
      <c r="C4" s="3" t="s">
        <v>20</v>
      </c>
      <c r="D4" s="3" t="s">
        <v>32</v>
      </c>
      <c r="E4" s="3" t="s">
        <v>22</v>
      </c>
      <c r="F4" s="4" t="n">
        <v>150</v>
      </c>
      <c r="G4" s="4" t="n">
        <v>200</v>
      </c>
      <c r="H4" s="4" t="n">
        <v>275</v>
      </c>
      <c r="I4" s="4"/>
      <c r="J4" s="4"/>
      <c r="K4" s="3" t="s">
        <v>23</v>
      </c>
      <c r="L4" s="5" t="s">
        <v>24</v>
      </c>
      <c r="M4" s="3" t="s">
        <v>25</v>
      </c>
      <c r="N4" s="3"/>
      <c r="O4" s="3"/>
      <c r="P4" s="3"/>
      <c r="Q4" s="3" t="s">
        <v>26</v>
      </c>
      <c r="R4" s="3" t="s">
        <v>30</v>
      </c>
    </row>
    <row r="5" customFormat="false" ht="15" hidden="false" customHeight="true" outlineLevel="0" collapsed="false">
      <c r="A5" s="6" t="s">
        <v>33</v>
      </c>
      <c r="B5" s="6" t="s">
        <v>19</v>
      </c>
      <c r="C5" s="6" t="s">
        <v>34</v>
      </c>
      <c r="D5" s="6" t="s">
        <v>35</v>
      </c>
      <c r="E5" s="6" t="s">
        <v>36</v>
      </c>
      <c r="F5" s="7" t="n">
        <v>100</v>
      </c>
      <c r="G5" s="7" t="n">
        <v>150</v>
      </c>
      <c r="H5" s="7" t="n">
        <v>200</v>
      </c>
      <c r="I5" s="7"/>
      <c r="J5" s="7"/>
      <c r="K5" s="6" t="s">
        <v>23</v>
      </c>
      <c r="L5" s="5" t="s">
        <v>24</v>
      </c>
      <c r="M5" s="6" t="s">
        <v>25</v>
      </c>
      <c r="N5" s="6"/>
      <c r="O5" s="6"/>
      <c r="P5" s="6"/>
      <c r="Q5" s="6" t="s">
        <v>26</v>
      </c>
      <c r="R5" s="6" t="s">
        <v>30</v>
      </c>
    </row>
    <row r="6" customFormat="false" ht="15" hidden="false" customHeight="true" outlineLevel="0" collapsed="false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4" t="n">
        <v>1500</v>
      </c>
      <c r="G6" s="4" t="n">
        <v>4000</v>
      </c>
      <c r="H6" s="4" t="n">
        <v>8000</v>
      </c>
      <c r="I6" s="4"/>
      <c r="J6" s="4"/>
      <c r="K6" s="3" t="s">
        <v>42</v>
      </c>
      <c r="L6" s="8" t="s">
        <v>43</v>
      </c>
      <c r="M6" s="3" t="s">
        <v>25</v>
      </c>
      <c r="N6" s="3"/>
      <c r="O6" s="3"/>
      <c r="P6" s="3"/>
      <c r="Q6" s="3" t="s">
        <v>44</v>
      </c>
      <c r="R6" s="3" t="s">
        <v>45</v>
      </c>
    </row>
    <row r="7" customFormat="false" ht="15" hidden="false" customHeight="true" outlineLevel="0" collapsed="false">
      <c r="A7" s="6" t="s">
        <v>46</v>
      </c>
      <c r="B7" s="6" t="s">
        <v>47</v>
      </c>
      <c r="C7" s="6" t="s">
        <v>48</v>
      </c>
      <c r="D7" s="6" t="s">
        <v>49</v>
      </c>
      <c r="E7" s="6" t="s">
        <v>22</v>
      </c>
      <c r="F7" s="7" t="n">
        <v>300</v>
      </c>
      <c r="G7" s="7" t="n">
        <v>550</v>
      </c>
      <c r="H7" s="7" t="n">
        <v>900</v>
      </c>
      <c r="I7" s="7" t="n">
        <v>380</v>
      </c>
      <c r="J7" s="7" t="n">
        <v>342</v>
      </c>
      <c r="K7" s="6" t="s">
        <v>50</v>
      </c>
      <c r="L7" s="9" t="s">
        <v>51</v>
      </c>
      <c r="M7" s="6" t="s">
        <v>25</v>
      </c>
      <c r="N7" s="6"/>
      <c r="O7" s="6"/>
      <c r="P7" s="6" t="s">
        <v>52</v>
      </c>
      <c r="Q7" s="6" t="s">
        <v>53</v>
      </c>
      <c r="R7" s="6" t="s">
        <v>54</v>
      </c>
    </row>
    <row r="8" customFormat="false" ht="15" hidden="false" customHeight="true" outlineLevel="0" collapsed="false">
      <c r="A8" s="3" t="s">
        <v>55</v>
      </c>
      <c r="B8" s="3" t="s">
        <v>56</v>
      </c>
      <c r="C8" s="3" t="s">
        <v>57</v>
      </c>
      <c r="D8" s="3" t="s">
        <v>58</v>
      </c>
      <c r="E8" s="3" t="s">
        <v>22</v>
      </c>
      <c r="F8" s="4" t="n">
        <v>150</v>
      </c>
      <c r="G8" s="4" t="n">
        <v>350</v>
      </c>
      <c r="H8" s="4" t="n">
        <v>700</v>
      </c>
      <c r="I8" s="4" t="n">
        <v>350</v>
      </c>
      <c r="J8" s="4"/>
      <c r="K8" s="3" t="s">
        <v>50</v>
      </c>
      <c r="L8" s="5" t="s">
        <v>24</v>
      </c>
      <c r="M8" s="3" t="s">
        <v>25</v>
      </c>
      <c r="N8" s="3"/>
      <c r="O8" s="3"/>
      <c r="P8" s="3" t="s">
        <v>59</v>
      </c>
      <c r="Q8" s="3" t="s">
        <v>60</v>
      </c>
      <c r="R8" s="3" t="s">
        <v>61</v>
      </c>
    </row>
    <row r="9" customFormat="false" ht="15" hidden="false" customHeight="true" outlineLevel="0" collapsed="false">
      <c r="A9" s="6" t="s">
        <v>62</v>
      </c>
      <c r="B9" s="6" t="s">
        <v>63</v>
      </c>
      <c r="C9" s="6" t="s">
        <v>64</v>
      </c>
      <c r="D9" s="6" t="s">
        <v>65</v>
      </c>
      <c r="E9" s="6" t="s">
        <v>36</v>
      </c>
      <c r="F9" s="7" t="n">
        <v>40</v>
      </c>
      <c r="G9" s="7" t="n">
        <v>80</v>
      </c>
      <c r="H9" s="7" t="n">
        <v>150</v>
      </c>
      <c r="I9" s="7" t="n">
        <v>80</v>
      </c>
      <c r="J9" s="7"/>
      <c r="K9" s="6" t="s">
        <v>23</v>
      </c>
      <c r="L9" s="5" t="s">
        <v>24</v>
      </c>
      <c r="M9" s="6" t="s">
        <v>25</v>
      </c>
      <c r="N9" s="6"/>
      <c r="O9" s="6"/>
      <c r="P9" s="6"/>
      <c r="Q9" s="6" t="s">
        <v>66</v>
      </c>
      <c r="R9" s="6" t="s">
        <v>67</v>
      </c>
    </row>
    <row r="11" customFormat="false" ht="15" hidden="false" customHeight="true" outlineLevel="0" collapsed="false">
      <c r="A11" s="10" t="s">
        <v>68</v>
      </c>
      <c r="F11" s="11" t="n">
        <f aca="false">SUM(F2:F9)</f>
        <v>2640</v>
      </c>
      <c r="G11" s="11" t="n">
        <f aca="false">SUM(G2:G9)</f>
        <v>5855</v>
      </c>
      <c r="H11" s="11" t="n">
        <f aca="false">SUM(H2:H9)</f>
        <v>10925</v>
      </c>
    </row>
    <row r="12" customFormat="false" ht="15" hidden="false" customHeight="false" outlineLevel="0" collapsed="false">
      <c r="A12" s="1" t="s">
        <v>69</v>
      </c>
      <c r="B12" s="1" t="s">
        <v>70</v>
      </c>
      <c r="E12" s="1" t="s">
        <v>22</v>
      </c>
      <c r="F12" s="1" t="n">
        <v>75</v>
      </c>
      <c r="G12" s="1" t="n">
        <v>125</v>
      </c>
      <c r="H12" s="1" t="n">
        <v>175</v>
      </c>
      <c r="I12" s="1" t="n">
        <v>125</v>
      </c>
      <c r="K12" s="1" t="s">
        <v>23</v>
      </c>
      <c r="L12" s="12" t="s">
        <v>24</v>
      </c>
      <c r="M12" s="1" t="s">
        <v>71</v>
      </c>
      <c r="P12" s="1" t="s">
        <v>72</v>
      </c>
      <c r="Q12" s="1" t="s">
        <v>73</v>
      </c>
      <c r="R12" s="1" t="s">
        <v>74</v>
      </c>
    </row>
    <row r="13" customFormat="false" ht="15" hidden="false" customHeight="false" outlineLevel="0" collapsed="false">
      <c r="A13" s="1" t="s">
        <v>75</v>
      </c>
      <c r="B13" s="1" t="s">
        <v>70</v>
      </c>
      <c r="E13" s="1" t="s">
        <v>22</v>
      </c>
      <c r="F13" s="1" t="n">
        <v>100</v>
      </c>
      <c r="G13" s="1" t="n">
        <v>150</v>
      </c>
      <c r="H13" s="1" t="n">
        <v>225</v>
      </c>
      <c r="I13" s="1" t="n">
        <v>150</v>
      </c>
      <c r="K13" s="1" t="s">
        <v>23</v>
      </c>
      <c r="L13" s="12" t="s">
        <v>24</v>
      </c>
      <c r="M13" s="1" t="s">
        <v>71</v>
      </c>
      <c r="P13" s="1" t="s">
        <v>76</v>
      </c>
      <c r="Q13" s="1" t="s">
        <v>77</v>
      </c>
      <c r="R13" s="1" t="s">
        <v>78</v>
      </c>
    </row>
    <row r="14" customFormat="false" ht="15" hidden="false" customHeight="false" outlineLevel="0" collapsed="false">
      <c r="A14" s="1" t="s">
        <v>79</v>
      </c>
      <c r="B14" s="1" t="s">
        <v>80</v>
      </c>
      <c r="C14" s="1" t="s">
        <v>81</v>
      </c>
      <c r="D14" s="1" t="s">
        <v>82</v>
      </c>
      <c r="E14" s="1" t="s">
        <v>22</v>
      </c>
      <c r="F14" s="1" t="n">
        <v>6000</v>
      </c>
      <c r="G14" s="1" t="n">
        <v>10000</v>
      </c>
      <c r="H14" s="1" t="n">
        <v>18000</v>
      </c>
      <c r="K14" s="1" t="s">
        <v>83</v>
      </c>
      <c r="L14" s="13" t="s">
        <v>43</v>
      </c>
      <c r="M14" s="1" t="s">
        <v>84</v>
      </c>
      <c r="Q14" s="1" t="s">
        <v>85</v>
      </c>
      <c r="R14" s="1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4" t="s">
        <v>87</v>
      </c>
    </row>
    <row r="3" customFormat="false" ht="15" hidden="false" customHeight="true" outlineLevel="0" collapsed="false">
      <c r="A3" s="15" t="s">
        <v>88</v>
      </c>
      <c r="B3" s="10" t="n">
        <f aca="false">COUNTA(Inventory!A2:A9)</f>
        <v>8</v>
      </c>
    </row>
    <row r="4" customFormat="false" ht="15" hidden="false" customHeight="true" outlineLevel="0" collapsed="false">
      <c r="A4" s="15" t="s">
        <v>89</v>
      </c>
      <c r="B4" s="10" t="n">
        <f aca="false">COUNTIF(Inventory!L2:L9,"listed")</f>
        <v>6</v>
      </c>
    </row>
    <row r="5" customFormat="false" ht="15" hidden="false" customHeight="true" outlineLevel="0" collapsed="false">
      <c r="A5" s="15" t="s">
        <v>90</v>
      </c>
      <c r="B5" s="10" t="n">
        <f aca="false">COUNTIF(Inventory!L2:L9,"sold")</f>
        <v>1</v>
      </c>
    </row>
    <row r="6" customFormat="false" ht="15" hidden="false" customHeight="true" outlineLevel="0" collapsed="false">
      <c r="A6" s="15" t="s">
        <v>91</v>
      </c>
      <c r="B6" s="10" t="n">
        <f aca="false">COUNTIF(Inventory!L2:L9,"draft")</f>
        <v>1</v>
      </c>
    </row>
    <row r="7" customFormat="false" ht="15" hidden="false" customHeight="true" outlineLevel="0" collapsed="false">
      <c r="A7" s="15" t="s">
        <v>92</v>
      </c>
      <c r="B7" s="11" t="n">
        <f aca="false">SUM(Inventory!F2:F9)</f>
        <v>2640</v>
      </c>
    </row>
    <row r="8" customFormat="false" ht="15" hidden="false" customHeight="true" outlineLevel="0" collapsed="false">
      <c r="A8" s="15" t="s">
        <v>93</v>
      </c>
      <c r="B8" s="11" t="n">
        <f aca="false">SUM(Inventory!G2:G9)</f>
        <v>5855</v>
      </c>
    </row>
    <row r="9" customFormat="false" ht="15" hidden="false" customHeight="true" outlineLevel="0" collapsed="false">
      <c r="A9" s="15" t="s">
        <v>94</v>
      </c>
      <c r="B9" s="11" t="n">
        <f aca="false">SUM(Inventory!H2:H9)</f>
        <v>10925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2026-03-13T22:55:54Z</dcterms:created>
  <dc:creator>openpyxl</dc:creator>
  <dc:description/>
  <dc:language>en-US</dc:language>
  <cp:lastModifiedBy/>
  <dcterms:modified xsi:type="dcterms:W3CDTF">2026-03-17T00:49:44Z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