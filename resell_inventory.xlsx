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6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</fonts>
  <fills count="9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7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/>
      <c r="J2" s="14" t="n"/>
      <c r="K2" s="13" t="inlineStr">
        <is>
          <t>FB Marketplace</t>
        </is>
      </c>
      <c r="L2" s="15" t="inlineStr">
        <is>
          <t>manual</t>
        </is>
      </c>
      <c r="M2" s="13" t="inlineStr">
        <is>
          <t>2026-03-13</t>
        </is>
      </c>
      <c r="N2" s="13" t="n"/>
      <c r="O2" s="13" t="n"/>
      <c r="P2" s="13" t="n"/>
      <c r="Q2" s="13" t="inlineStr">
        <is>
          <t>Items to resell/Music Equipment</t>
        </is>
      </c>
      <c r="R2" s="13" t="inlineStr">
        <is>
          <t>Old FB account - user handling separately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/>
      <c r="J3" s="17" t="n"/>
      <c r="K3" s="16" t="inlineStr">
        <is>
          <t>FB Marketplace</t>
        </is>
      </c>
      <c r="L3" s="15" t="inlineStr">
        <is>
          <t>manual</t>
        </is>
      </c>
      <c r="M3" s="16" t="inlineStr">
        <is>
          <t>2026-03-13</t>
        </is>
      </c>
      <c r="N3" s="16" t="n"/>
      <c r="O3" s="16" t="n"/>
      <c r="P3" s="16" t="n"/>
      <c r="Q3" s="16" t="inlineStr">
        <is>
          <t>Items to resell/Music Equipment</t>
        </is>
      </c>
      <c r="R3" s="16" t="inlineStr">
        <is>
          <t>Old FB account - user handling separately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/>
      <c r="J4" s="14" t="n"/>
      <c r="K4" s="13" t="inlineStr">
        <is>
          <t>FB Marketplace</t>
        </is>
      </c>
      <c r="L4" s="15" t="inlineStr">
        <is>
          <t>manual</t>
        </is>
      </c>
      <c r="M4" s="13" t="inlineStr">
        <is>
          <t>2026-03-13</t>
        </is>
      </c>
      <c r="N4" s="13" t="n"/>
      <c r="O4" s="13" t="n"/>
      <c r="P4" s="13" t="n"/>
      <c r="Q4" s="13" t="inlineStr">
        <is>
          <t>Items to resell/Music Equipment</t>
        </is>
      </c>
      <c r="R4" s="13" t="inlineStr">
        <is>
          <t>Old FB account - user handling separately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/>
      <c r="J5" s="17" t="n"/>
      <c r="K5" s="16" t="inlineStr">
        <is>
          <t>FB Marketplace</t>
        </is>
      </c>
      <c r="L5" s="15" t="inlineStr">
        <is>
          <t>manual</t>
        </is>
      </c>
      <c r="M5" s="16" t="inlineStr">
        <is>
          <t>2026-03-13</t>
        </is>
      </c>
      <c r="N5" s="16" t="n"/>
      <c r="O5" s="16" t="n"/>
      <c r="P5" s="16" t="n"/>
      <c r="Q5" s="16" t="inlineStr">
        <is>
          <t>Items to resell/Music Equipment</t>
        </is>
      </c>
      <c r="R5" s="16" t="inlineStr">
        <is>
          <t>Old FB account - managed from MacBook Air (bundled with Paradigm home theater)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</t>
        </is>
      </c>
      <c r="L8" s="31" t="inlineStr">
        <is>
          <t>listed</t>
        </is>
      </c>
      <c r="M8" s="13" t="inlineStr">
        <is>
          <t>2026-03-13</t>
        </is>
      </c>
      <c r="N8" s="13" t="n"/>
      <c r="O8" s="13" t="n"/>
      <c r="P8" s="13" t="inlineStr">
        <is>
          <t>https://www.ebay.com/itm/298122793101</t>
        </is>
      </c>
      <c r="Q8" s="13" t="inlineStr">
        <is>
          <t>Items to resell/Painting</t>
        </is>
      </c>
      <c r="R8" s="13" t="inlineStr"/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15" t="inlineStr">
        <is>
          <t>manual</t>
        </is>
      </c>
      <c r="M9" s="16" t="inlineStr">
        <is>
          <t>2026-03-13</t>
        </is>
      </c>
      <c r="N9" s="16" t="n"/>
      <c r="O9" s="16" t="n"/>
      <c r="P9" s="16" t="n"/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24" t="inlineStr">
        <is>
          <t>manual</t>
        </is>
      </c>
      <c r="M12" s="5" t="inlineStr">
        <is>
          <t>2026-03-15</t>
        </is>
      </c>
      <c r="N12" s="27" t="n"/>
      <c r="O12" s="27" t="n"/>
      <c r="P12" s="5" t="inlineStr">
        <is>
          <t>https://www.facebook.com/marketplace/item/1906061356703947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manual</t>
        </is>
      </c>
      <c r="M13" s="5" t="inlineStr">
        <is>
          <t>2026-03-15</t>
        </is>
      </c>
      <c r="N13" s="27" t="n"/>
      <c r="O13" s="27" t="n"/>
      <c r="P13" s="5" t="inlineStr">
        <is>
          <t>https://www.facebook.com/marketplace/item/1255615856540782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/>
      <c r="J14" s="22" t="n"/>
      <c r="K14" s="5" t="inlineStr">
        <is>
          <t>FB Marketplace</t>
        </is>
      </c>
      <c r="L14" s="30" t="inlineStr">
        <is>
          <t>listed</t>
        </is>
      </c>
      <c r="M14" s="5" t="inlineStr">
        <is>
          <t>2026-03-16</t>
        </is>
      </c>
      <c r="N14" s="27" t="n"/>
      <c r="O14" s="27" t="n"/>
      <c r="P14" s="27" t="inlineStr">
        <is>
          <t>https://www.facebook.com/marketplace/item/875609515482127</t>
        </is>
      </c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n"/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30" t="inlineStr">
        <is>
          <t>listed</t>
        </is>
      </c>
      <c r="M15" s="5" t="inlineStr">
        <is>
          <t>2026-03-17</t>
        </is>
      </c>
      <c r="N15" s="27" t="n"/>
      <c r="O15" s="27" t="n"/>
      <c r="P15" s="27" t="inlineStr">
        <is>
          <t>https://www.facebook.com/marketplace/item/2430087930754566</t>
        </is>
      </c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G16" t="n">
        <v>225</v>
      </c>
      <c r="K16" t="inlineStr">
        <is>
          <t>FB Marketplace</t>
        </is>
      </c>
      <c r="L16" s="32" t="inlineStr">
        <is>
          <t>listed</t>
        </is>
      </c>
      <c r="M16" t="inlineStr">
        <is>
          <t>2026-03-17</t>
        </is>
      </c>
      <c r="P16" t="inlineStr">
        <is>
          <t>https://www.facebook.com/marketplace/item/1258134445860417</t>
        </is>
      </c>
      <c r="Q16" t="inlineStr">
        <is>
          <t>items/oriental-37-12-x-56-12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G17" t="n">
        <v>210</v>
      </c>
      <c r="K17" t="inlineStr">
        <is>
          <t>FB Marketplace</t>
        </is>
      </c>
      <c r="L17" s="32" t="inlineStr">
        <is>
          <t>listed</t>
        </is>
      </c>
      <c r="M17" t="inlineStr">
        <is>
          <t>2026-03-17</t>
        </is>
      </c>
      <c r="P17" t="inlineStr">
        <is>
          <t>https://www.facebook.com/marketplace/item/1291397416387369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G18" t="n">
        <v>75</v>
      </c>
      <c r="K18" t="inlineStr">
        <is>
          <t>FB Marketplace</t>
        </is>
      </c>
      <c r="L18" s="32" t="inlineStr">
        <is>
          <t>listed</t>
        </is>
      </c>
      <c r="M18" t="inlineStr">
        <is>
          <t>2026-03-17</t>
        </is>
      </c>
      <c r="P18" t="inlineStr">
        <is>
          <t>https://www.facebook.com/marketplace/item/1306171418224751</t>
        </is>
      </c>
      <c r="Q18" t="inlineStr">
        <is>
          <t>items/rug-30-12-x-57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G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G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G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G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G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G24" t="n">
        <v>225</v>
      </c>
      <c r="K24" t="inlineStr">
        <is>
          <t>FB Marketplace</t>
        </is>
      </c>
      <c r="L24" s="32" t="inlineStr">
        <is>
          <t>listed</t>
        </is>
      </c>
      <c r="M24" t="inlineStr">
        <is>
          <t>2026-03-17</t>
        </is>
      </c>
      <c r="P24" t="inlineStr">
        <is>
          <t>https://www.facebook.com/marketplace/item/864521629953555</t>
        </is>
      </c>
      <c r="Q24" t="inlineStr">
        <is>
          <t>items/oriental-bag-27-x-29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G25" t="n">
        <v>375</v>
      </c>
      <c r="K25" t="inlineStr">
        <is>
          <t>FB Marketplace</t>
        </is>
      </c>
      <c r="L25" s="32" t="inlineStr">
        <is>
          <t>listed</t>
        </is>
      </c>
      <c r="M25" t="inlineStr">
        <is>
          <t>2026-03-17</t>
        </is>
      </c>
      <c r="P25" t="inlineStr">
        <is>
          <t>https://www.facebook.com/marketplace/item/796264936376988</t>
        </is>
      </c>
      <c r="Q25" t="inlineStr">
        <is>
          <t>items/oriental-rug-saddle-bag-each-side-is-25-x-20-12-there-are-po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G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G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9"/>
  <sheetViews>
    <sheetView workbookViewId="0">
      <selection activeCell="A1" sqref="A1"/>
    </sheetView>
  </sheetViews>
  <sheetFormatPr baseColWidth="8" defaultRowHeight="15"/>
  <cols>
    <col width="28.005" bestFit="1" customWidth="1" style="7" min="1" max="1"/>
    <col width="15.005" bestFit="1" customWidth="1" style="8" min="2" max="2"/>
  </cols>
  <sheetData>
    <row r="1" ht="17.25" customHeight="1">
      <c r="A1" s="1" t="inlineStr">
        <is>
          <t>Resell Inventory Summary</t>
        </is>
      </c>
      <c r="B1" s="8" t="n"/>
    </row>
    <row r="2" ht="18" customHeight="1">
      <c r="A2" s="7" t="n"/>
      <c r="B2" s="8" t="n"/>
    </row>
    <row r="3" ht="15" customHeight="1">
      <c r="A3" s="5" t="inlineStr">
        <is>
          <t>Total Items:</t>
        </is>
      </c>
      <c r="B3" s="5">
        <f>COUNTA(Inventory!A2:A9)</f>
        <v/>
      </c>
    </row>
    <row r="4" ht="15" customHeight="1">
      <c r="A4" s="5" t="inlineStr">
        <is>
          <t>Listed:</t>
        </is>
      </c>
      <c r="B4" s="5">
        <f>COUNTIF(Inventory!L2:L9,"listed")</f>
        <v/>
      </c>
    </row>
    <row r="5" ht="15" customHeight="1">
      <c r="A5" s="5" t="inlineStr">
        <is>
          <t>Sold:</t>
        </is>
      </c>
      <c r="B5" s="5">
        <f>COUNTIF(Inventory!L2:L9,"sold")</f>
        <v/>
      </c>
    </row>
    <row r="6" ht="15" customHeight="1">
      <c r="A6" s="5" t="inlineStr">
        <is>
          <t>Draft:</t>
        </is>
      </c>
      <c r="B6" s="5">
        <f>COUNTIF(Inventory!L2:L9,"draft")</f>
        <v/>
      </c>
    </row>
    <row r="7" ht="15" customHeight="1">
      <c r="A7" s="5" t="inlineStr">
        <is>
          <t>Est. Total (Quick Sale):</t>
        </is>
      </c>
      <c r="B7" s="6">
        <f>SUM(Inventory!F2:F9)</f>
        <v/>
      </c>
    </row>
    <row r="8" ht="15" customHeight="1">
      <c r="A8" s="5" t="inlineStr">
        <is>
          <t>Est. Total (Market):</t>
        </is>
      </c>
      <c r="B8" s="6">
        <f>SUM(Inventory!G2:G9)</f>
        <v/>
      </c>
    </row>
    <row r="9" ht="15" customHeight="1">
      <c r="A9" s="5" t="inlineStr">
        <is>
          <t>Est. Total (Optimistic):</t>
        </is>
      </c>
      <c r="B9" s="6">
        <f>SUM(Inventory!H2:H9)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2026-03-20T00:35:24Z</dcterms:modified>
</cp:coreProperties>
</file>