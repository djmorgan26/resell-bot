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8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7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>
        <v>750</v>
      </c>
      <c r="J2" s="14" t="n"/>
      <c r="K2" s="13" t="inlineStr">
        <is>
          <t>FB Marketplace</t>
        </is>
      </c>
      <c r="L2" s="31" t="inlineStr">
        <is>
          <t>listed</t>
        </is>
      </c>
      <c r="M2" s="13" t="inlineStr">
        <is>
          <t>2026-03-13</t>
        </is>
      </c>
      <c r="N2" s="13" t="inlineStr">
        <is>
          <t>2026-03-19</t>
        </is>
      </c>
      <c r="O2" s="13" t="n"/>
      <c r="P2" s="13" t="inlineStr">
        <is>
          <t>https://www.facebook.com/marketplace/item/1585020142554515</t>
        </is>
      </c>
      <c r="Q2" s="13" t="inlineStr">
        <is>
          <t>Items to resell/Music Equipment</t>
        </is>
      </c>
      <c r="R2" s="13" t="inlineStr">
        <is>
          <t>Listed as full system bundle with CC-370, PS-1000, and Marantz receiver. Bundle price $750.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>
        <v>750</v>
      </c>
      <c r="J3" s="17" t="n"/>
      <c r="K3" s="16" t="inlineStr">
        <is>
          <t>FB Marketplace</t>
        </is>
      </c>
      <c r="L3" s="31" t="inlineStr">
        <is>
          <t>listed</t>
        </is>
      </c>
      <c r="M3" s="16" t="inlineStr">
        <is>
          <t>2026-03-13</t>
        </is>
      </c>
      <c r="N3" s="16" t="inlineStr">
        <is>
          <t>2026-03-19</t>
        </is>
      </c>
      <c r="O3" s="16" t="n"/>
      <c r="P3" s="16" t="inlineStr">
        <is>
          <t>https://www.facebook.com/marketplace/item/1585020142554515</t>
        </is>
      </c>
      <c r="Q3" s="16" t="inlineStr">
        <is>
          <t>Items to resell/Music Equipment</t>
        </is>
      </c>
      <c r="R3" s="16" t="inlineStr">
        <is>
          <t>Bundled with Monitor 9, PS-1000, Marantz — one listing at $750.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>
        <v>750</v>
      </c>
      <c r="J4" s="14" t="n"/>
      <c r="K4" s="13" t="inlineStr">
        <is>
          <t>FB Marketplace</t>
        </is>
      </c>
      <c r="L4" s="31" t="inlineStr">
        <is>
          <t>listed</t>
        </is>
      </c>
      <c r="M4" s="13" t="inlineStr">
        <is>
          <t>2026-03-13</t>
        </is>
      </c>
      <c r="N4" s="13" t="inlineStr">
        <is>
          <t>2026-03-19</t>
        </is>
      </c>
      <c r="O4" s="13" t="n"/>
      <c r="P4" s="13" t="inlineStr">
        <is>
          <t>https://www.facebook.com/marketplace/item/1585020142554515</t>
        </is>
      </c>
      <c r="Q4" s="13" t="inlineStr">
        <is>
          <t>Items to resell/Music Equipment</t>
        </is>
      </c>
      <c r="R4" s="13" t="inlineStr">
        <is>
          <t>Bundled with Monitor 9, CC-370, Marantz — one listing at $750.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>
        <v>750</v>
      </c>
      <c r="J5" s="17" t="n"/>
      <c r="K5" s="16" t="inlineStr">
        <is>
          <t>FB Marketplace</t>
        </is>
      </c>
      <c r="L5" s="31" t="inlineStr">
        <is>
          <t>listed</t>
        </is>
      </c>
      <c r="M5" s="16" t="inlineStr">
        <is>
          <t>2026-03-13</t>
        </is>
      </c>
      <c r="N5" s="16" t="inlineStr">
        <is>
          <t>2026-03-19</t>
        </is>
      </c>
      <c r="O5" s="16" t="n"/>
      <c r="P5" s="16" t="inlineStr">
        <is>
          <t>https://www.facebook.com/marketplace/item/1585020142554515</t>
        </is>
      </c>
      <c r="Q5" s="16" t="inlineStr">
        <is>
          <t>Items to resell/Music Equipment</t>
        </is>
      </c>
      <c r="R5" s="16" t="inlineStr">
        <is>
          <t>Bundled with Paradigm Monitor 9, CC-370, PS-1000 — one listing at $750.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 + FB Marketplace</t>
        </is>
      </c>
      <c r="L8" s="31" t="inlineStr">
        <is>
          <t>listed</t>
        </is>
      </c>
      <c r="M8" s="13" t="inlineStr">
        <is>
          <t>2026-03-13</t>
        </is>
      </c>
      <c r="N8" s="13" t="inlineStr">
        <is>
          <t>2026-03-19</t>
        </is>
      </c>
      <c r="O8" s="13" t="n"/>
      <c r="P8" s="13" t="inlineStr">
        <is>
          <t>https://www.facebook.com/marketplace/item/1571562920579007</t>
        </is>
      </c>
      <c r="Q8" s="13" t="inlineStr">
        <is>
          <t>Items to resell/Painting</t>
        </is>
      </c>
      <c r="R8" s="13" t="inlineStr">
        <is>
          <t>Listed on both eBay and FB Marketplace. FB: https://www.facebook.com/marketplace/item/1571562920579007</t>
        </is>
      </c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31" t="inlineStr">
        <is>
          <t>listed</t>
        </is>
      </c>
      <c r="M9" s="16" t="inlineStr">
        <is>
          <t>2026-03-13</t>
        </is>
      </c>
      <c r="N9" s="16" t="inlineStr">
        <is>
          <t>2026-03-19</t>
        </is>
      </c>
      <c r="O9" s="16" t="n"/>
      <c r="P9" s="16" t="inlineStr">
        <is>
          <t>https://www.facebook.com/marketplace/item/1616552336289478</t>
        </is>
      </c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30" t="inlineStr">
        <is>
          <t>listed</t>
        </is>
      </c>
      <c r="M12" s="5" t="inlineStr">
        <is>
          <t>2026-03-15</t>
        </is>
      </c>
      <c r="N12" s="27" t="inlineStr">
        <is>
          <t>2026-03-19</t>
        </is>
      </c>
      <c r="O12" s="27" t="n"/>
      <c r="P12" s="5" t="inlineStr">
        <is>
          <t>https://www.facebook.com/marketplace/item/2781152878894043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listed</t>
        </is>
      </c>
      <c r="M13" s="5" t="inlineStr">
        <is>
          <t>2026-03-15</t>
        </is>
      </c>
      <c r="N13" s="27" t="inlineStr">
        <is>
          <t>2026-03-19</t>
        </is>
      </c>
      <c r="O13" s="27" t="n"/>
      <c r="P13" s="5" t="inlineStr">
        <is>
          <t>https://www.facebook.com/marketplace/item/3975772839389217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>
        <v>10000</v>
      </c>
      <c r="J14" s="22" t="n"/>
      <c r="K14" s="5" t="inlineStr">
        <is>
          <t>FB Marketplace</t>
        </is>
      </c>
      <c r="L14" s="30" t="inlineStr">
        <is>
          <t>listed</t>
        </is>
      </c>
      <c r="M14" s="5" t="inlineStr">
        <is>
          <t>2026-03-16</t>
        </is>
      </c>
      <c r="N14" s="27" t="inlineStr">
        <is>
          <t>2026-03-19</t>
        </is>
      </c>
      <c r="O14" s="27" t="n"/>
      <c r="P14" s="27" t="inlineStr">
        <is>
          <t>https://www.facebook.com/marketplace/item/875609515482127</t>
        </is>
      </c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inlineStr">
        <is>
          <t>Used - Good</t>
        </is>
      </c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30" t="inlineStr">
        <is>
          <t>listed</t>
        </is>
      </c>
      <c r="M15" s="5" t="inlineStr">
        <is>
          <t>2026-03-17</t>
        </is>
      </c>
      <c r="N15" s="27" t="inlineStr">
        <is>
          <t>2026-03-19</t>
        </is>
      </c>
      <c r="O15" s="27" t="n"/>
      <c r="P15" s="27" t="inlineStr">
        <is>
          <t>https://www.facebook.com/marketplace/item/2430087930754566</t>
        </is>
      </c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E16" t="inlineStr">
        <is>
          <t>Used - Good</t>
        </is>
      </c>
      <c r="G16" t="n">
        <v>225</v>
      </c>
      <c r="I16" t="n">
        <v>225</v>
      </c>
      <c r="K16" t="inlineStr">
        <is>
          <t>FB Marketplace</t>
        </is>
      </c>
      <c r="L16" s="32" t="inlineStr">
        <is>
          <t>listed</t>
        </is>
      </c>
      <c r="M16" t="inlineStr">
        <is>
          <t>2026-03-17</t>
        </is>
      </c>
      <c r="N16" t="inlineStr">
        <is>
          <t>2026-03-19</t>
        </is>
      </c>
      <c r="P16" t="inlineStr">
        <is>
          <t>https://www.facebook.com/marketplace/item/1258134445860417</t>
        </is>
      </c>
      <c r="Q16" t="inlineStr">
        <is>
          <t>items/oriental-37-12-x-56-12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E17" t="inlineStr">
        <is>
          <t>Used - Good</t>
        </is>
      </c>
      <c r="G17" t="n">
        <v>210</v>
      </c>
      <c r="I17" t="n">
        <v>210</v>
      </c>
      <c r="K17" t="inlineStr">
        <is>
          <t>FB Marketplace</t>
        </is>
      </c>
      <c r="L17" s="32" t="inlineStr">
        <is>
          <t>listed</t>
        </is>
      </c>
      <c r="M17" t="inlineStr">
        <is>
          <t>2026-03-17</t>
        </is>
      </c>
      <c r="N17" t="inlineStr">
        <is>
          <t>2026-03-19</t>
        </is>
      </c>
      <c r="P17" t="inlineStr">
        <is>
          <t>https://www.facebook.com/marketplace/item/1291397416387369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E18" t="inlineStr">
        <is>
          <t>Used - Good</t>
        </is>
      </c>
      <c r="G18" t="n">
        <v>75</v>
      </c>
      <c r="I18" t="n">
        <v>75</v>
      </c>
      <c r="K18" t="inlineStr">
        <is>
          <t>FB Marketplace</t>
        </is>
      </c>
      <c r="L18" s="32" t="inlineStr">
        <is>
          <t>listed</t>
        </is>
      </c>
      <c r="M18" t="inlineStr">
        <is>
          <t>2026-03-17</t>
        </is>
      </c>
      <c r="N18" t="inlineStr">
        <is>
          <t>2026-03-19</t>
        </is>
      </c>
      <c r="P18" t="inlineStr">
        <is>
          <t>https://www.facebook.com/marketplace/item/1306171418224751</t>
        </is>
      </c>
      <c r="Q18" t="inlineStr">
        <is>
          <t>items/rug-30-12-x-57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E19" t="inlineStr">
        <is>
          <t>Used - Good</t>
        </is>
      </c>
      <c r="G19" t="n">
        <v>250</v>
      </c>
      <c r="I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N19" t="inlineStr">
        <is>
          <t>2026-03-19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E20" t="inlineStr">
        <is>
          <t>Used - Good</t>
        </is>
      </c>
      <c r="G20" t="n">
        <v>195</v>
      </c>
      <c r="I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N20" t="inlineStr">
        <is>
          <t>2026-03-19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E21" t="inlineStr">
        <is>
          <t>Used - Good</t>
        </is>
      </c>
      <c r="G21" t="n">
        <v>140</v>
      </c>
      <c r="I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N21" t="inlineStr">
        <is>
          <t>2026-03-19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E22" t="inlineStr">
        <is>
          <t>Used - Good</t>
        </is>
      </c>
      <c r="G22" t="n">
        <v>250</v>
      </c>
      <c r="I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N22" t="inlineStr">
        <is>
          <t>2026-03-19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E23" t="inlineStr">
        <is>
          <t>Used - Good</t>
        </is>
      </c>
      <c r="G23" t="n">
        <v>285</v>
      </c>
      <c r="I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N23" t="inlineStr">
        <is>
          <t>2026-03-19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E24" t="inlineStr">
        <is>
          <t>Used - Good</t>
        </is>
      </c>
      <c r="G24" t="n">
        <v>225</v>
      </c>
      <c r="I24" t="n">
        <v>225</v>
      </c>
      <c r="K24" t="inlineStr">
        <is>
          <t>FB Marketplace</t>
        </is>
      </c>
      <c r="L24" s="32" t="inlineStr">
        <is>
          <t>listed</t>
        </is>
      </c>
      <c r="M24" t="inlineStr">
        <is>
          <t>2026-03-17</t>
        </is>
      </c>
      <c r="N24" t="inlineStr">
        <is>
          <t>2026-03-19</t>
        </is>
      </c>
      <c r="P24" t="inlineStr">
        <is>
          <t>https://www.facebook.com/marketplace/item/864521629953555</t>
        </is>
      </c>
      <c r="Q24" t="inlineStr">
        <is>
          <t>items/oriental-bag-27-x-29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E25" t="inlineStr">
        <is>
          <t>Used - Good</t>
        </is>
      </c>
      <c r="G25" t="n">
        <v>375</v>
      </c>
      <c r="I25" t="n">
        <v>375</v>
      </c>
      <c r="K25" t="inlineStr">
        <is>
          <t>FB Marketplace</t>
        </is>
      </c>
      <c r="L25" s="32" t="inlineStr">
        <is>
          <t>listed</t>
        </is>
      </c>
      <c r="M25" t="inlineStr">
        <is>
          <t>2026-03-17</t>
        </is>
      </c>
      <c r="N25" t="inlineStr">
        <is>
          <t>2026-03-19</t>
        </is>
      </c>
      <c r="P25" t="inlineStr">
        <is>
          <t>https://www.facebook.com/marketplace/item/796264936376988</t>
        </is>
      </c>
      <c r="Q25" t="inlineStr">
        <is>
          <t>items/oriental-rug-saddle-bag-each-side-is-25-x-20-12-there-are-po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E26" t="inlineStr">
        <is>
          <t>Used - Good</t>
        </is>
      </c>
      <c r="G26" t="n">
        <v>75</v>
      </c>
      <c r="I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N26" t="inlineStr">
        <is>
          <t>2026-03-19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E27" t="inlineStr">
        <is>
          <t>Used - Good</t>
        </is>
      </c>
      <c r="G27" t="n">
        <v>65</v>
      </c>
      <c r="I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N27" t="inlineStr">
        <is>
          <t>2026-03-19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bestFit="1" customWidth="1" style="7" min="1" max="1"/>
    <col width="20" bestFit="1" customWidth="1" style="8" min="2" max="2"/>
  </cols>
  <sheetData>
    <row r="1" ht="17.25" customHeight="1">
      <c r="A1" s="33" t="inlineStr">
        <is>
          <t>Resell Inventory Summary</t>
        </is>
      </c>
    </row>
    <row r="2" ht="18" customHeight="1">
      <c r="A2" t="inlineStr">
        <is>
          <t>Last Updated:</t>
        </is>
      </c>
      <c r="B2" t="inlineStr">
        <is>
          <t>2026-03-19</t>
        </is>
      </c>
    </row>
    <row r="3" ht="15" customHeight="1"/>
    <row r="4" ht="15" customHeight="1">
      <c r="A4" s="34" t="inlineStr">
        <is>
          <t>COUNTS</t>
        </is>
      </c>
    </row>
    <row r="5" ht="15" customHeight="1">
      <c r="A5" t="inlineStr">
        <is>
          <t>Total Items:</t>
        </is>
      </c>
      <c r="B5">
        <f>COUNTA(Inventory!A2:A25)-COUNTIF(Inventory!A2:A25,"TOTALS")</f>
        <v/>
      </c>
    </row>
    <row r="6" ht="15" customHeight="1">
      <c r="A6" t="inlineStr">
        <is>
          <t>Listed:</t>
        </is>
      </c>
      <c r="B6">
        <f>COUNTIF(Inventory!L2:L25,"listed")</f>
        <v/>
      </c>
    </row>
    <row r="7" ht="15" customHeight="1">
      <c r="A7" t="inlineStr">
        <is>
          <t>Sold:</t>
        </is>
      </c>
      <c r="B7">
        <f>COUNTIF(Inventory!L2:L25,"sold")</f>
        <v/>
      </c>
    </row>
    <row r="8" ht="15" customHeight="1">
      <c r="A8" t="inlineStr">
        <is>
          <t>Draft:</t>
        </is>
      </c>
      <c r="B8">
        <f>COUNTIF(Inventory!L2:L25,"draft")</f>
        <v/>
      </c>
    </row>
    <row r="9" ht="15" customHeight="1"/>
    <row r="10">
      <c r="A10" s="34" t="inlineStr">
        <is>
          <t>VALUATIONS (active listings only)</t>
        </is>
      </c>
    </row>
    <row r="11">
      <c r="A11" t="inlineStr">
        <is>
          <t>Quick Sale Total:</t>
        </is>
      </c>
      <c r="B11">
        <f>SUMIF(Inventory!L2:L25,"listed",Inventory!F2:F25)</f>
        <v/>
      </c>
    </row>
    <row r="12">
      <c r="A12" t="inlineStr">
        <is>
          <t>Market Price Total:</t>
        </is>
      </c>
      <c r="B12">
        <f>SUMIF(Inventory!L2:L25,"listed",Inventory!G2:G25)</f>
        <v/>
      </c>
    </row>
    <row r="13">
      <c r="A13" t="inlineStr">
        <is>
          <t>Optimistic Total:</t>
        </is>
      </c>
      <c r="B13">
        <f>SUMIF(Inventory!L2:L25,"listed",Inventory!H2:H25)</f>
        <v/>
      </c>
    </row>
    <row r="14"/>
    <row r="15">
      <c r="A15" s="34" t="inlineStr">
        <is>
          <t>SOLD</t>
        </is>
      </c>
    </row>
    <row r="16">
      <c r="A16" t="inlineStr">
        <is>
          <t>Total Sold Revenue:</t>
        </is>
      </c>
      <c r="B16">
        <f>SUMIF(Inventory!L2:L25,"sold",Inventory!J2:J25)</f>
        <v/>
      </c>
    </row>
    <row r="17"/>
    <row r="18">
      <c r="A18" s="34" t="inlineStr">
        <is>
          <t>PLATFORMS</t>
        </is>
      </c>
    </row>
    <row r="19">
      <c r="A19" t="inlineStr">
        <is>
          <t>On FB Marketplace:</t>
        </is>
      </c>
      <c r="B19">
        <f>COUNTIFS(Inventory!K2:K25,"FB Marketplace",Inventory!L2:L25,"listed")</f>
        <v/>
      </c>
    </row>
    <row r="20">
      <c r="A20" t="inlineStr">
        <is>
          <t>On eBay:</t>
        </is>
      </c>
      <c r="B20">
        <f>COUNTIFS(Inventory!K2:K25,"eBay",Inventory!L2:L25,"listed")</f>
        <v/>
      </c>
    </row>
    <row r="21">
      <c r="A21" t="inlineStr">
        <is>
          <t>On Both:</t>
        </is>
      </c>
      <c r="B21">
        <f>COUNTIFS(Inventory!K2:K25,"eBay + FB Marketplace",Inventory!L2:L25,"listed")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2026-03-20T01:14:04Z</dcterms:modified>
</cp:coreProperties>
</file>