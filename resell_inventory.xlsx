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theme+xml" PartName="/xl/theme/theme1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package.core-properties+xml" PartName="/docProps/core.xml"/>
  <Override ContentType="application/vnd.openxmlformats-officedocument.extended-properties+xml" PartName="/docProps/app.xml"/>
</Types>
</file>

<file path=_rels/.rels><?xml version="1.0" encoding="UTF-8" standalone="yes"?><Relationships xmlns="http://schemas.openxmlformats.org/package/2006/relationships"><Relationship Target="docProps/app.xml" Type="http://schemas.openxmlformats.org/officeDocument/2006/relationships/extended-properties" Id="rId3"/><Relationship Target="docProps/core.xml" Type="http://schemas.openxmlformats.org/package/2006/relationships/metadata/core-properties" Id="rId2"/><Relationship Target="xl/workbook.xml" Type="http://schemas.openxmlformats.org/officeDocument/2006/relationships/officeDocument" Id="rId1"/></Relationships>
</file>

<file path=xl/workbook.xml><?xml version="1.0" encoding="utf-8"?>
<workbook xmlns="http://schemas.openxmlformats.org/spreadsheetml/2006/main" xmlns:r="http://schemas.openxmlformats.org/officeDocument/2006/relationships">
  <fileVersion rupBuild="9303" lowestEdited="5" lastEdited="5" appName="xl"/>
  <workbookPr/>
  <bookViews>
    <workbookView xWindow="480" yWindow="60" windowWidth="18195" windowHeight="8505" activeTab="0"/>
  </bookViews>
  <sheets>
    <sheet r:id="rId1" sheetId="1" name="Inventory"/>
    <sheet r:id="rId2" sheetId="2" name="Summary"/>
  </sheets>
  <calcPr fullCalcOnLoad="1"/>
</workbook>
</file>

<file path=xl/sharedStrings.xml><?xml version="1.0" encoding="utf-8"?>
<sst xmlns="http://schemas.openxmlformats.org/spreadsheetml/2006/main" count="143" uniqueCount="100">
  <si>
    <t>Resell Inventory Summary</t>
  </si>
  <si>
    <t>Total Items:</t>
  </si>
  <si>
    <t>Listed:</t>
  </si>
  <si>
    <t>Sold:</t>
  </si>
  <si>
    <t>Draft:</t>
  </si>
  <si>
    <t>Est. Total (Quick Sale):</t>
  </si>
  <si>
    <t>Est. Total (Market):</t>
  </si>
  <si>
    <t>Est. Total (Optimistic):</t>
  </si>
  <si>
    <t>Item Name</t>
  </si>
  <si>
    <t>Category</t>
  </si>
  <si>
    <t>Brand</t>
  </si>
  <si>
    <t>Model</t>
  </si>
  <si>
    <t>Condition</t>
  </si>
  <si>
    <t>Quick Sale $</t>
  </si>
  <si>
    <t>Market Price $</t>
  </si>
  <si>
    <t>Optimistic $</t>
  </si>
  <si>
    <t>Listed Price $</t>
  </si>
  <si>
    <t>Sold Price $</t>
  </si>
  <si>
    <t>Marketplace</t>
  </si>
  <si>
    <t>Status</t>
  </si>
  <si>
    <t>Date Added</t>
  </si>
  <si>
    <t>Date Listed</t>
  </si>
  <si>
    <t>Date Sold</t>
  </si>
  <si>
    <t>Listing URL</t>
  </si>
  <si>
    <t>Photos Folder</t>
  </si>
  <si>
    <t>Notes</t>
  </si>
  <si>
    <t>Paradigm Monitor 9 v.2 Tower Speakers (Pair)</t>
  </si>
  <si>
    <t>Audio / Home Theater</t>
  </si>
  <si>
    <t>Paradigm</t>
  </si>
  <si>
    <t>Monitor 9 v.2</t>
  </si>
  <si>
    <t>Very Good</t>
  </si>
  <si>
    <t>FB Marketplace</t>
  </si>
  <si>
    <t>listed</t>
  </si>
  <si>
    <t>2026-03-13</t>
  </si>
  <si>
    <t>Items to resell/Music Equipment</t>
  </si>
  <si>
    <t>Bundle listing at $800 (272 clicks on FB — strong interest). Carter asked about buying floor speakers separately — replied 3/16: '$375/pair, interested?'. David confirmed ok to sell individually. Last checked: 2026-03-17.</t>
  </si>
  <si>
    <t>Paradigm CC-370 v.2 Center Channel</t>
  </si>
  <si>
    <t>CC-370 v.2</t>
  </si>
  <si>
    <t>Listed as bundle at $800 on FB Marketplace (3/13). 272 clicks on bundle. David confirmed ok to sell pieces individually if needed. Last checked: 2026-03-17.</t>
  </si>
  <si>
    <t>Paradigm PS-1000 v.3 Powered Subwoofer</t>
  </si>
  <si>
    <t>PS-1000 v.3</t>
  </si>
  <si>
    <t>Marantz AV Receiver (SR-series)</t>
  </si>
  <si>
    <t>Marantz</t>
  </si>
  <si>
    <t>SR5600 (approx)</t>
  </si>
  <si>
    <t>Good</t>
  </si>
  <si>
    <t>Tiffany Studios NY Desk Set (Venetian Pattern)</t>
  </si>
  <si>
    <t>Antiques / Decorative Arts</t>
  </si>
  <si>
    <t>Tiffany Studios</t>
  </si>
  <si>
    <t>Venetian #2111 / #1700-series</t>
  </si>
  <si>
    <t>Good - age-appropriate patina</t>
  </si>
  <si>
    <t>1stDibs / Auction House</t>
  </si>
  <si>
    <t>draft</t>
  </si>
  <si>
    <t>Items to resell/Tiffany</t>
  </si>
  <si>
    <t>Multiple pieces: inkwell w/ glass inserts, pen trays, stamp box, candelabra base. RECOMMEND PROFESSIONAL AUTHENTICATION before selling.</t>
  </si>
  <si>
    <t>Singer Featherweight 221 Sewing Machine</t>
  </si>
  <si>
    <t>Sewing / Vintage Machines</t>
  </si>
  <si>
    <t>Singer</t>
  </si>
  <si>
    <t>Featherweight 221</t>
  </si>
  <si>
    <t>eBay</t>
  </si>
  <si>
    <t>sold</t>
  </si>
  <si>
    <t>https://www.ebay.com/itm/298122784143</t>
  </si>
  <si>
    <t>Items to resell/Sowing Machine</t>
  </si>
  <si>
    <t>SOLD to mari88530 (Maria Lara Rivas) for $342. Order #12-14372-41895. Ship by Thu Mar 19. Payment received Mar 16. Last checked: 2026-03-16.</t>
  </si>
  <si>
    <t>Itzchak Tarkay "Tea for Two" Signed Lithograph</t>
  </si>
  <si>
    <t>Art / Prints</t>
  </si>
  <si>
    <t>Itzchak Tarkay</t>
  </si>
  <si>
    <t>Tea for Two - Ltd Ed Lithograph</t>
  </si>
  <si>
    <t>https://www.ebay.com/itm/298122793101</t>
  </si>
  <si>
    <t>Items to resell/Painting</t>
  </si>
  <si>
    <t>1 view, 0 watchers — still very low engagement 2 days in. No offers or messages. Consider price review if no activity by 3/21. Last checked: 2026-03-17.</t>
  </si>
  <si>
    <t>Asian Shadow Box Display Cabinet</t>
  </si>
  <si>
    <t>Furniture / Decor</t>
  </si>
  <si>
    <t>Unknown</t>
  </si>
  <si>
    <t>Wall-mount curio display</t>
  </si>
  <si>
    <t>Items to resell/Other Art</t>
  </si>
  <si>
    <t>54 clicks on listing. Merrisa Allmond asked 'is this still available?' — replied 3/16: 'Yes, still available!' Last checked: 2026-03-17.</t>
  </si>
  <si>
    <t>TOTALS</t>
  </si>
  <si>
    <t>Oversized Tapestry Club Chair</t>
  </si>
  <si>
    <t>Furniture / Home Decor</t>
  </si>
  <si>
    <t>2026-03-15</t>
  </si>
  <si>
    <t>https://www.facebook.com/marketplace/item/1906061356703947</t>
  </si>
  <si>
    <t>Listing Photos/tapestry-club-chair</t>
  </si>
  <si>
    <t>26 clicks on listing. Active — no messages today. Last checked: 2026-03-17.</t>
  </si>
  <si>
    <t>Geometric Pushback Recliner</t>
  </si>
  <si>
    <t>https://www.facebook.com/marketplace/item/1255615856540782</t>
  </si>
  <si>
    <t>Listing Photos/geometric-pushback-recliner</t>
  </si>
  <si>
    <t>15 clicks on listing. Active — no messages today. Last checked: 2026-03-17.</t>
  </si>
  <si>
    <t>Mashad Fine Persian Rug (11'6" x 16')</t>
  </si>
  <si>
    <t>Rugs / Home Decor</t>
  </si>
  <si>
    <t>Designer Rugs Limited</t>
  </si>
  <si>
    <t>Mashad (Fine) - Handmade Persian</t>
  </si>
  <si>
    <t>FB Marketplace / Chairish</t>
  </si>
  <si>
    <t>ready</t>
  </si>
  <si>
    <t>2026-03-16</t>
  </si>
  <si>
    <t>items/mashad-persian-rug-11x16</t>
  </si>
  <si>
    <t>Handmade wool Persian Mashad rug, 11'6" x 16' (~184 sq ft). Purchased April 1999 from Designer Rugs Ltd for $24,000-$27,000. Provenance: original receipt + signed letter from Shahnaz at Designer Rugs Limited (Apr 17 2000) confirming "Mashad (Fine) Persian, Size: 11.6 x 16". Deep navy/indigo field, intricate floral medallion, ivory border w/ red/rust accents. NOTE: Do NOT list on eBay (Iran embargo). Best platforms: FB Marketplace (fast/local) or Chairish (higher price). Recommend professional cleaning + new flat-lay photos before listing. Research file: items/mashad-persian-rug-11x16/RESEARCH.md. Last updated: 2026-03-16.</t>
  </si>
  <si>
    <t>Chinese Flambe Glaze Vase 27.5in</t>
  </si>
  <si>
    <t>Art / Decor</t>
  </si>
  <si>
    <t>2026-03-17</t>
  </si>
  <si>
    <t>Curiouser &amp; Curiouser dealer sticker $750 retail. Jingdezhen sang de boeuf, 4-char seal mark on base.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</si>
</sst>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 mc:Ignorable="x14ac">
  <numFmts count="1">
    <numFmt numFmtId="164" formatCode="$#,##0_);($#,##0)"/>
  </numFmts>
  <fonts count="6" x14ac:knownFonts="1">
    <font>
      <sz val="11"/>
      <color theme="1"/>
      <name val="Calibri"/>
      <family val="2"/>
      <scheme val="minor"/>
    </font>
    <font>
      <sz val="14"/>
      <color rgb="FF000000"/>
      <name val="Calibri"/>
      <family val="2"/>
    </font>
    <font>
      <sz val="11"/>
      <color rgb="FF000000"/>
      <name val="Calibri"/>
      <family val="2"/>
    </font>
    <font>
      <sz val="11"/>
      <color rgb="FFffffff"/>
      <name val="Calibri"/>
      <family val="2"/>
    </font>
    <font>
      <sz val="10"/>
      <color rgb="FF000000"/>
      <name val="Calibri"/>
      <family val="2"/>
    </font>
    <font>
      <sz val="11"/>
      <color theme="1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rgb="FF1b4f72"/>
      </patternFill>
    </fill>
    <fill>
      <patternFill patternType="solid">
        <fgColor rgb="FFf8f9fa"/>
      </patternFill>
    </fill>
    <fill>
      <patternFill patternType="solid">
        <fgColor rgb="FFd4edda"/>
      </patternFill>
    </fill>
    <fill>
      <patternFill patternType="solid">
        <fgColor rgb="FFfff3cd"/>
      </patternFill>
    </fill>
    <fill>
      <patternFill patternType="solid">
        <fgColor rgb="FFd1ecf1"/>
      </patternFill>
    </fill>
    <fill>
      <patternFill patternType="solid">
        <fgColor rgb="FFffe4a0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</borders>
  <cellStyleXfs count="1">
    <xf numFmtId="0" fontId="0" fillId="0" borderId="0"/>
  </cellStyleXfs>
  <cellXfs count="30">
    <xf xfId="0" numFmtId="0" borderId="0" fontId="0" fillId="0"/>
    <xf xfId="0" numFmtId="0" borderId="1" applyBorder="1" fontId="1" applyFont="1" fillId="0" applyAlignment="1">
      <alignment horizontal="left"/>
    </xf>
    <xf xfId="0" numFmtId="0" borderId="0" fontId="0" fillId="0" applyAlignment="1">
      <alignment horizontal="right"/>
    </xf>
    <xf xfId="0" numFmtId="0" borderId="0" fontId="0" fillId="0" applyAlignment="1">
      <alignment horizontal="left"/>
    </xf>
    <xf xfId="0" numFmtId="0" borderId="1" applyBorder="1" fontId="2" applyFont="1" fillId="0" applyAlignment="1">
      <alignment horizontal="left"/>
    </xf>
    <xf xfId="0" numFmtId="0" borderId="1" applyBorder="1" fontId="2" applyFont="1" fillId="0" applyAlignment="1">
      <alignment horizontal="left"/>
    </xf>
    <xf xfId="0" numFmtId="164" applyNumberFormat="1" borderId="1" applyBorder="1" fontId="2" applyFont="1" fillId="0" applyAlignment="1">
      <alignment horizontal="right"/>
    </xf>
    <xf xfId="0" numFmtId="0" borderId="0" fontId="0" fillId="0" applyAlignment="1">
      <alignment horizontal="left"/>
    </xf>
    <xf xfId="0" numFmtId="0" borderId="0" fontId="0" fillId="0" applyAlignment="1">
      <alignment horizontal="right"/>
    </xf>
    <xf xfId="0" numFmtId="0" borderId="0" fontId="0" fillId="0" applyAlignment="1">
      <alignment wrapText="1"/>
    </xf>
    <xf xfId="0" numFmtId="0" borderId="2" applyBorder="1" fontId="3" applyFont="1" fillId="2" applyFill="1" applyAlignment="1">
      <alignment horizontal="center" wrapText="1"/>
    </xf>
    <xf xfId="0" numFmtId="3" applyNumberFormat="1" borderId="2" applyBorder="1" fontId="3" applyFont="1" fillId="2" applyFill="1" applyAlignment="1">
      <alignment horizontal="center" wrapText="1"/>
    </xf>
    <xf xfId="0" numFmtId="164" applyNumberFormat="1" borderId="2" applyBorder="1" fontId="3" applyFont="1" fillId="2" applyFill="1" applyAlignment="1">
      <alignment horizontal="center" wrapText="1"/>
    </xf>
    <xf xfId="0" numFmtId="0" borderId="2" applyBorder="1" fontId="4" applyFont="1" fillId="3" applyFill="1" applyAlignment="1">
      <alignment horizontal="left"/>
    </xf>
    <xf xfId="0" numFmtId="164" applyNumberFormat="1" borderId="2" applyBorder="1" fontId="4" applyFont="1" fillId="3" applyFill="1" applyAlignment="1">
      <alignment horizontal="right"/>
    </xf>
    <xf xfId="0" numFmtId="0" borderId="2" applyBorder="1" fontId="4" applyFont="1" fillId="4" applyFill="1" applyAlignment="1">
      <alignment horizontal="left"/>
    </xf>
    <xf xfId="0" numFmtId="0" borderId="1" applyBorder="1" fontId="4" applyFont="1" fillId="0" applyAlignment="1">
      <alignment horizontal="left"/>
    </xf>
    <xf xfId="0" numFmtId="164" applyNumberFormat="1" borderId="1" applyBorder="1" fontId="4" applyFont="1" fillId="0" applyAlignment="1">
      <alignment horizontal="right"/>
    </xf>
    <xf xfId="0" numFmtId="0" borderId="2" applyBorder="1" fontId="4" applyFont="1" fillId="5" applyFill="1" applyAlignment="1">
      <alignment horizontal="left"/>
    </xf>
    <xf xfId="0" numFmtId="0" borderId="2" applyBorder="1" fontId="4" applyFont="1" fillId="6" applyFill="1" applyAlignment="1">
      <alignment horizontal="left"/>
    </xf>
    <xf xfId="0" numFmtId="0" borderId="0" fontId="0" fillId="0" applyAlignment="1">
      <alignment horizontal="general"/>
    </xf>
    <xf xfId="0" numFmtId="3" applyNumberFormat="1" borderId="1" applyBorder="1" fontId="5" applyFont="1" fillId="0" applyAlignment="1">
      <alignment horizontal="right"/>
    </xf>
    <xf xfId="0" numFmtId="164" applyNumberFormat="1" borderId="1" applyBorder="1" fontId="5" applyFont="1" fillId="0" applyAlignment="1">
      <alignment horizontal="right"/>
    </xf>
    <xf xfId="0" numFmtId="3" applyNumberFormat="1" borderId="1" applyBorder="1" fontId="2" applyFont="1" fillId="0" applyAlignment="1">
      <alignment horizontal="right"/>
    </xf>
    <xf xfId="0" numFmtId="0" borderId="2" applyBorder="1" fontId="2" applyFont="1" fillId="4" applyFill="1" applyAlignment="1">
      <alignment horizontal="left"/>
    </xf>
    <xf xfId="0" numFmtId="0" borderId="2" applyBorder="1" fontId="2" applyFont="1" fillId="7" applyFill="1" applyAlignment="1">
      <alignment horizontal="left"/>
    </xf>
    <xf xfId="0" numFmtId="0" borderId="2" applyBorder="1" fontId="2" applyFont="1" fillId="5" applyFill="1" applyAlignment="1">
      <alignment horizontal="left"/>
    </xf>
    <xf xfId="0" numFmtId="0" borderId="0" fontId="0" fillId="0" applyAlignment="1">
      <alignment horizontal="general"/>
    </xf>
    <xf xfId="0" numFmtId="3" applyNumberFormat="1" borderId="0" fontId="0" fillId="0" applyAlignment="1">
      <alignment horizontal="right"/>
    </xf>
    <xf xfId="0" numFmtId="164" applyNumberFormat="1" borderId="0" fontId="0" fillId="0" applyAlignment="1">
      <alignment horizontal="general"/>
    </xf>
  </cellXfs>
  <cellStyles count="1">
    <cellStyle xfId="0" builtinId="0" name="Normal"/>
  </cellStyles>
  <dxfs count="0"/>
  <tableStyles count="0" defaultTableStyle="TableStyleMedium9" defaultPivotStyle="PivotStyleLight16"/>
  <extLst>
    <ext uri="{EB79DEF2-80B8-43e5-95BD-54CBDDF9020C}">
      <x14ac:slicerStyles xmlns:x14="http://schemas.microsoft.com/office/spreadsheetml/2009/9/main" defaultSlicerStyle="SlicerStyleLight1"/>
    </ext>
  </extLst>
</styleSheet>
</file>

<file path=xl/_rels/workbook.xml.rels><?xml version="1.0" encoding="UTF-8" standalone="yes"?><Relationships xmlns="http://schemas.openxmlformats.org/package/2006/relationships"><Relationship Target="worksheets/sheet1.xml" Type="http://schemas.openxmlformats.org/officeDocument/2006/relationships/worksheet" Id="rId1"/><Relationship Target="worksheets/sheet2.xml" Type="http://schemas.openxmlformats.org/officeDocument/2006/relationships/worksheet" Id="rId2"/><Relationship Target="sharedStrings.xml" Type="http://schemas.openxmlformats.org/officeDocument/2006/relationships/sharedStrings" Id="rId3"/><Relationship Target="styles.xml" Type="http://schemas.openxmlformats.org/officeDocument/2006/relationships/styles" Id="rId4"/><Relationship Target="theme/theme1.xml" Type="http://schemas.openxmlformats.org/officeDocument/2006/relationships/theme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R15"/>
  <sheetViews>
    <sheetView workbookViewId="0" tabSelected="1">
      <pane state="frozen" activePane="bottomLeft" topLeftCell="A2" ySplit="1" xSplit="0"/>
    </sheetView>
  </sheetViews>
  <sheetFormatPr defaultRowHeight="15" x14ac:dyDescent="0.25"/>
  <cols>
    <col min="1" max="1" style="7" width="25.005" customWidth="1" bestFit="1"/>
    <col min="2" max="2" style="7" width="20.005" customWidth="1" bestFit="1"/>
    <col min="3" max="3" style="27" width="15.005" customWidth="1" bestFit="1"/>
    <col min="4" max="4" style="27" width="20.005" customWidth="1" bestFit="1"/>
    <col min="5" max="5" style="27" width="12.005" customWidth="1" bestFit="1"/>
    <col min="6" max="6" style="28" width="12.005" customWidth="1" bestFit="1"/>
    <col min="7" max="7" style="28" width="12.005" customWidth="1" bestFit="1"/>
    <col min="8" max="8" style="28" width="12.005" customWidth="1" bestFit="1"/>
    <col min="9" max="9" style="28" width="12.005" customWidth="1" bestFit="1"/>
    <col min="10" max="10" style="29" width="12.005" customWidth="1" bestFit="1"/>
    <col min="11" max="11" style="7" width="18.005" customWidth="1" bestFit="1"/>
    <col min="12" max="12" style="7" width="12.005" customWidth="1" bestFit="1"/>
    <col min="13" max="13" style="7" width="12.005" customWidth="1" bestFit="1"/>
    <col min="14" max="14" style="27" width="12.005" customWidth="1" bestFit="1"/>
    <col min="15" max="15" style="27" width="12.005" customWidth="1" bestFit="1"/>
    <col min="16" max="16" style="27" width="35.005" customWidth="1" bestFit="1"/>
    <col min="17" max="17" style="27" width="30.005" customWidth="1" bestFit="1"/>
    <col min="18" max="18" style="7" width="30.005" customWidth="1" bestFit="1"/>
  </cols>
  <sheetData>
    <row x14ac:dyDescent="0.25" r="1" customHeight="1" ht="23.25" customFormat="1" s="9">
      <c r="A1" s="10" t="s">
        <v>8</v>
      </c>
      <c r="B1" s="10" t="s">
        <v>9</v>
      </c>
      <c r="C1" s="10" t="s">
        <v>10</v>
      </c>
      <c r="D1" s="10" t="s">
        <v>11</v>
      </c>
      <c r="E1" s="10" t="s">
        <v>12</v>
      </c>
      <c r="F1" s="11" t="s">
        <v>13</v>
      </c>
      <c r="G1" s="11" t="s">
        <v>14</v>
      </c>
      <c r="H1" s="11" t="s">
        <v>15</v>
      </c>
      <c r="I1" s="11" t="s">
        <v>16</v>
      </c>
      <c r="J1" s="12" t="s">
        <v>17</v>
      </c>
      <c r="K1" s="10" t="s">
        <v>18</v>
      </c>
      <c r="L1" s="10" t="s">
        <v>19</v>
      </c>
      <c r="M1" s="10" t="s">
        <v>20</v>
      </c>
      <c r="N1" s="10" t="s">
        <v>21</v>
      </c>
      <c r="O1" s="10" t="s">
        <v>22</v>
      </c>
      <c r="P1" s="10" t="s">
        <v>23</v>
      </c>
      <c r="Q1" s="10" t="s">
        <v>24</v>
      </c>
      <c r="R1" s="10" t="s">
        <v>25</v>
      </c>
    </row>
    <row x14ac:dyDescent="0.25" r="2" customHeight="1" ht="18">
      <c r="A2" s="13" t="s">
        <v>26</v>
      </c>
      <c r="B2" s="13" t="s">
        <v>27</v>
      </c>
      <c r="C2" s="13" t="s">
        <v>28</v>
      </c>
      <c r="D2" s="13" t="s">
        <v>29</v>
      </c>
      <c r="E2" s="13" t="s">
        <v>30</v>
      </c>
      <c r="F2" s="14">
        <v>300</v>
      </c>
      <c r="G2" s="14">
        <v>375</v>
      </c>
      <c r="H2" s="14">
        <v>475</v>
      </c>
      <c r="I2" s="14"/>
      <c r="J2" s="14"/>
      <c r="K2" s="13" t="s">
        <v>31</v>
      </c>
      <c r="L2" s="15" t="s">
        <v>32</v>
      </c>
      <c r="M2" s="13" t="s">
        <v>33</v>
      </c>
      <c r="N2" s="13"/>
      <c r="O2" s="13"/>
      <c r="P2" s="13"/>
      <c r="Q2" s="13" t="s">
        <v>34</v>
      </c>
      <c r="R2" s="13" t="s">
        <v>35</v>
      </c>
    </row>
    <row x14ac:dyDescent="0.25" r="3" customHeight="1" ht="18">
      <c r="A3" s="16" t="s">
        <v>36</v>
      </c>
      <c r="B3" s="16" t="s">
        <v>27</v>
      </c>
      <c r="C3" s="16" t="s">
        <v>28</v>
      </c>
      <c r="D3" s="16" t="s">
        <v>37</v>
      </c>
      <c r="E3" s="16" t="s">
        <v>30</v>
      </c>
      <c r="F3" s="17">
        <v>100</v>
      </c>
      <c r="G3" s="17">
        <v>150</v>
      </c>
      <c r="H3" s="17">
        <v>225</v>
      </c>
      <c r="I3" s="17"/>
      <c r="J3" s="17"/>
      <c r="K3" s="16" t="s">
        <v>31</v>
      </c>
      <c r="L3" s="15" t="s">
        <v>32</v>
      </c>
      <c r="M3" s="16" t="s">
        <v>33</v>
      </c>
      <c r="N3" s="16"/>
      <c r="O3" s="16"/>
      <c r="P3" s="16"/>
      <c r="Q3" s="16" t="s">
        <v>34</v>
      </c>
      <c r="R3" s="16" t="s">
        <v>38</v>
      </c>
    </row>
    <row x14ac:dyDescent="0.25" r="4" customHeight="1" ht="18">
      <c r="A4" s="13" t="s">
        <v>39</v>
      </c>
      <c r="B4" s="13" t="s">
        <v>27</v>
      </c>
      <c r="C4" s="13" t="s">
        <v>28</v>
      </c>
      <c r="D4" s="13" t="s">
        <v>40</v>
      </c>
      <c r="E4" s="13" t="s">
        <v>30</v>
      </c>
      <c r="F4" s="14">
        <v>150</v>
      </c>
      <c r="G4" s="14">
        <v>200</v>
      </c>
      <c r="H4" s="14">
        <v>275</v>
      </c>
      <c r="I4" s="14"/>
      <c r="J4" s="14"/>
      <c r="K4" s="13" t="s">
        <v>31</v>
      </c>
      <c r="L4" s="15" t="s">
        <v>32</v>
      </c>
      <c r="M4" s="13" t="s">
        <v>33</v>
      </c>
      <c r="N4" s="13"/>
      <c r="O4" s="13"/>
      <c r="P4" s="13"/>
      <c r="Q4" s="13" t="s">
        <v>34</v>
      </c>
      <c r="R4" s="13" t="s">
        <v>38</v>
      </c>
    </row>
    <row x14ac:dyDescent="0.25" r="5" customHeight="1" ht="18">
      <c r="A5" s="16" t="s">
        <v>41</v>
      </c>
      <c r="B5" s="16" t="s">
        <v>27</v>
      </c>
      <c r="C5" s="16" t="s">
        <v>42</v>
      </c>
      <c r="D5" s="16" t="s">
        <v>43</v>
      </c>
      <c r="E5" s="16" t="s">
        <v>44</v>
      </c>
      <c r="F5" s="17">
        <v>100</v>
      </c>
      <c r="G5" s="17">
        <v>150</v>
      </c>
      <c r="H5" s="17">
        <v>200</v>
      </c>
      <c r="I5" s="17"/>
      <c r="J5" s="17"/>
      <c r="K5" s="16" t="s">
        <v>31</v>
      </c>
      <c r="L5" s="15" t="s">
        <v>32</v>
      </c>
      <c r="M5" s="16" t="s">
        <v>33</v>
      </c>
      <c r="N5" s="16"/>
      <c r="O5" s="16"/>
      <c r="P5" s="16"/>
      <c r="Q5" s="16" t="s">
        <v>34</v>
      </c>
      <c r="R5" s="16" t="s">
        <v>38</v>
      </c>
    </row>
    <row x14ac:dyDescent="0.25" r="6" customHeight="1" ht="18">
      <c r="A6" s="13" t="s">
        <v>45</v>
      </c>
      <c r="B6" s="13" t="s">
        <v>46</v>
      </c>
      <c r="C6" s="13" t="s">
        <v>47</v>
      </c>
      <c r="D6" s="13" t="s">
        <v>48</v>
      </c>
      <c r="E6" s="13" t="s">
        <v>49</v>
      </c>
      <c r="F6" s="14">
        <v>1500</v>
      </c>
      <c r="G6" s="14">
        <v>4000</v>
      </c>
      <c r="H6" s="14">
        <v>8000</v>
      </c>
      <c r="I6" s="14"/>
      <c r="J6" s="14"/>
      <c r="K6" s="13" t="s">
        <v>50</v>
      </c>
      <c r="L6" s="18" t="s">
        <v>51</v>
      </c>
      <c r="M6" s="13" t="s">
        <v>33</v>
      </c>
      <c r="N6" s="13"/>
      <c r="O6" s="13"/>
      <c r="P6" s="13"/>
      <c r="Q6" s="13" t="s">
        <v>52</v>
      </c>
      <c r="R6" s="13" t="s">
        <v>53</v>
      </c>
    </row>
    <row x14ac:dyDescent="0.25" r="7" customHeight="1" ht="18">
      <c r="A7" s="16" t="s">
        <v>54</v>
      </c>
      <c r="B7" s="16" t="s">
        <v>55</v>
      </c>
      <c r="C7" s="16" t="s">
        <v>56</v>
      </c>
      <c r="D7" s="16" t="s">
        <v>57</v>
      </c>
      <c r="E7" s="16" t="s">
        <v>30</v>
      </c>
      <c r="F7" s="17">
        <v>300</v>
      </c>
      <c r="G7" s="17">
        <v>550</v>
      </c>
      <c r="H7" s="17">
        <v>900</v>
      </c>
      <c r="I7" s="17">
        <v>380</v>
      </c>
      <c r="J7" s="17">
        <v>342</v>
      </c>
      <c r="K7" s="16" t="s">
        <v>58</v>
      </c>
      <c r="L7" s="19" t="s">
        <v>59</v>
      </c>
      <c r="M7" s="16" t="s">
        <v>33</v>
      </c>
      <c r="N7" s="16"/>
      <c r="O7" s="16"/>
      <c r="P7" s="16" t="s">
        <v>60</v>
      </c>
      <c r="Q7" s="16" t="s">
        <v>61</v>
      </c>
      <c r="R7" s="16" t="s">
        <v>62</v>
      </c>
    </row>
    <row x14ac:dyDescent="0.25" r="8" customHeight="1" ht="18">
      <c r="A8" s="13" t="s">
        <v>63</v>
      </c>
      <c r="B8" s="13" t="s">
        <v>64</v>
      </c>
      <c r="C8" s="13" t="s">
        <v>65</v>
      </c>
      <c r="D8" s="13" t="s">
        <v>66</v>
      </c>
      <c r="E8" s="13" t="s">
        <v>30</v>
      </c>
      <c r="F8" s="14">
        <v>150</v>
      </c>
      <c r="G8" s="14">
        <v>350</v>
      </c>
      <c r="H8" s="14">
        <v>700</v>
      </c>
      <c r="I8" s="14">
        <v>350</v>
      </c>
      <c r="J8" s="14"/>
      <c r="K8" s="13" t="s">
        <v>58</v>
      </c>
      <c r="L8" s="15" t="s">
        <v>32</v>
      </c>
      <c r="M8" s="13" t="s">
        <v>33</v>
      </c>
      <c r="N8" s="13"/>
      <c r="O8" s="13"/>
      <c r="P8" s="13" t="s">
        <v>67</v>
      </c>
      <c r="Q8" s="13" t="s">
        <v>68</v>
      </c>
      <c r="R8" s="13" t="s">
        <v>69</v>
      </c>
    </row>
    <row x14ac:dyDescent="0.25" r="9" customHeight="1" ht="18">
      <c r="A9" s="16" t="s">
        <v>70</v>
      </c>
      <c r="B9" s="16" t="s">
        <v>71</v>
      </c>
      <c r="C9" s="16" t="s">
        <v>72</v>
      </c>
      <c r="D9" s="16" t="s">
        <v>73</v>
      </c>
      <c r="E9" s="16" t="s">
        <v>44</v>
      </c>
      <c r="F9" s="17">
        <v>250</v>
      </c>
      <c r="G9" s="17">
        <v>400</v>
      </c>
      <c r="H9" s="17">
        <v>550</v>
      </c>
      <c r="I9" s="17">
        <v>400</v>
      </c>
      <c r="J9" s="17"/>
      <c r="K9" s="16" t="s">
        <v>31</v>
      </c>
      <c r="L9" s="15" t="s">
        <v>32</v>
      </c>
      <c r="M9" s="16" t="s">
        <v>33</v>
      </c>
      <c r="N9" s="16"/>
      <c r="O9" s="16"/>
      <c r="P9" s="16"/>
      <c r="Q9" s="16" t="s">
        <v>74</v>
      </c>
      <c r="R9" s="16" t="s">
        <v>75</v>
      </c>
    </row>
    <row x14ac:dyDescent="0.25" r="10" customHeight="1" ht="18">
      <c r="A10" s="3"/>
      <c r="B10" s="3"/>
      <c r="C10" s="20"/>
      <c r="D10" s="20"/>
      <c r="E10" s="20"/>
      <c r="F10" s="21"/>
      <c r="G10" s="21"/>
      <c r="H10" s="21"/>
      <c r="I10" s="21"/>
      <c r="J10" s="22"/>
      <c r="K10" s="3"/>
      <c r="L10" s="3"/>
      <c r="M10" s="3"/>
      <c r="N10" s="20"/>
      <c r="O10" s="20"/>
      <c r="P10" s="20"/>
      <c r="Q10" s="20"/>
      <c r="R10" s="3"/>
    </row>
    <row x14ac:dyDescent="0.25" r="11" customHeight="1" ht="18.75">
      <c r="A11" s="4" t="s">
        <v>76</v>
      </c>
      <c r="B11" s="3"/>
      <c r="C11" s="20"/>
      <c r="D11" s="20"/>
      <c r="E11" s="20"/>
      <c r="F11" s="6">
        <f>SUM(F2:F9)</f>
      </c>
      <c r="G11" s="6">
        <f>SUM(G2:G9)</f>
      </c>
      <c r="H11" s="6">
        <f>SUM(H2:H9)</f>
      </c>
      <c r="I11" s="21"/>
      <c r="J11" s="22"/>
      <c r="K11" s="3"/>
      <c r="L11" s="3"/>
      <c r="M11" s="3"/>
      <c r="N11" s="20"/>
      <c r="O11" s="20"/>
      <c r="P11" s="20"/>
      <c r="Q11" s="20"/>
      <c r="R11" s="3"/>
    </row>
    <row x14ac:dyDescent="0.25" r="12" customHeight="1" ht="18.75">
      <c r="A12" s="4" t="s">
        <v>77</v>
      </c>
      <c r="B12" s="4" t="s">
        <v>78</v>
      </c>
      <c r="C12" s="20"/>
      <c r="D12" s="20"/>
      <c r="E12" s="4" t="s">
        <v>30</v>
      </c>
      <c r="F12" s="23">
        <v>75</v>
      </c>
      <c r="G12" s="23">
        <v>125</v>
      </c>
      <c r="H12" s="23">
        <v>175</v>
      </c>
      <c r="I12" s="23">
        <v>125</v>
      </c>
      <c r="J12" s="22"/>
      <c r="K12" s="4" t="s">
        <v>31</v>
      </c>
      <c r="L12" s="24" t="s">
        <v>32</v>
      </c>
      <c r="M12" s="4" t="s">
        <v>79</v>
      </c>
      <c r="N12" s="20"/>
      <c r="O12" s="20"/>
      <c r="P12" s="4" t="s">
        <v>80</v>
      </c>
      <c r="Q12" s="4" t="s">
        <v>81</v>
      </c>
      <c r="R12" s="4" t="s">
        <v>82</v>
      </c>
    </row>
    <row x14ac:dyDescent="0.25" r="13" customHeight="1" ht="18.75">
      <c r="A13" s="4" t="s">
        <v>83</v>
      </c>
      <c r="B13" s="4" t="s">
        <v>78</v>
      </c>
      <c r="C13" s="20"/>
      <c r="D13" s="20"/>
      <c r="E13" s="4" t="s">
        <v>30</v>
      </c>
      <c r="F13" s="23">
        <v>100</v>
      </c>
      <c r="G13" s="23">
        <v>150</v>
      </c>
      <c r="H13" s="23">
        <v>225</v>
      </c>
      <c r="I13" s="23">
        <v>150</v>
      </c>
      <c r="J13" s="22"/>
      <c r="K13" s="4" t="s">
        <v>31</v>
      </c>
      <c r="L13" s="24" t="s">
        <v>32</v>
      </c>
      <c r="M13" s="4" t="s">
        <v>79</v>
      </c>
      <c r="N13" s="20"/>
      <c r="O13" s="20"/>
      <c r="P13" s="4" t="s">
        <v>84</v>
      </c>
      <c r="Q13" s="4" t="s">
        <v>85</v>
      </c>
      <c r="R13" s="4" t="s">
        <v>86</v>
      </c>
    </row>
    <row x14ac:dyDescent="0.25" r="14" customHeight="1" ht="18.75">
      <c r="A14" s="4" t="s">
        <v>87</v>
      </c>
      <c r="B14" s="4" t="s">
        <v>88</v>
      </c>
      <c r="C14" s="4" t="s">
        <v>89</v>
      </c>
      <c r="D14" s="4" t="s">
        <v>90</v>
      </c>
      <c r="E14" s="4" t="s">
        <v>30</v>
      </c>
      <c r="F14" s="23">
        <v>6000</v>
      </c>
      <c r="G14" s="23">
        <v>10000</v>
      </c>
      <c r="H14" s="23">
        <v>18000</v>
      </c>
      <c r="I14" s="21"/>
      <c r="J14" s="22"/>
      <c r="K14" s="4" t="s">
        <v>91</v>
      </c>
      <c r="L14" s="25" t="s">
        <v>92</v>
      </c>
      <c r="M14" s="4" t="s">
        <v>93</v>
      </c>
      <c r="N14" s="20"/>
      <c r="O14" s="20"/>
      <c r="P14" s="20"/>
      <c r="Q14" s="4" t="s">
        <v>94</v>
      </c>
      <c r="R14" s="4" t="s">
        <v>95</v>
      </c>
    </row>
    <row x14ac:dyDescent="0.25" r="15" customHeight="1" ht="18.75">
      <c r="A15" s="4" t="s">
        <v>96</v>
      </c>
      <c r="B15" s="4" t="s">
        <v>97</v>
      </c>
      <c r="C15" s="20"/>
      <c r="D15" s="20"/>
      <c r="E15" s="20"/>
      <c r="F15" s="23">
        <v>250</v>
      </c>
      <c r="G15" s="23">
        <v>450</v>
      </c>
      <c r="H15" s="23">
        <v>700</v>
      </c>
      <c r="I15" s="23">
        <v>450</v>
      </c>
      <c r="J15" s="22"/>
      <c r="K15" s="4" t="s">
        <v>31</v>
      </c>
      <c r="L15" s="26" t="s">
        <v>92</v>
      </c>
      <c r="M15" s="4" t="s">
        <v>98</v>
      </c>
      <c r="N15" s="20"/>
      <c r="O15" s="20"/>
      <c r="P15" s="20"/>
      <c r="Q15" s="20"/>
      <c r="R15" s="4" t="s">
        <v>99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B9"/>
  <sheetViews>
    <sheetView workbookViewId="0"/>
  </sheetViews>
  <sheetFormatPr defaultRowHeight="15" x14ac:dyDescent="0.25"/>
  <cols>
    <col min="1" max="1" style="7" width="28.005" customWidth="1" bestFit="1"/>
    <col min="2" max="2" style="8" width="15.005" customWidth="1" bestFit="1"/>
  </cols>
  <sheetData>
    <row x14ac:dyDescent="0.25" r="1" customHeight="1" ht="17.25">
      <c r="A1" s="1" t="s">
        <v>0</v>
      </c>
      <c r="B1" s="2"/>
    </row>
    <row x14ac:dyDescent="0.25" r="2" customHeight="1" ht="18">
      <c r="A2" s="3"/>
      <c r="B2" s="2"/>
    </row>
    <row x14ac:dyDescent="0.25" r="3" customHeight="1" ht="15">
      <c r="A3" s="4" t="s">
        <v>1</v>
      </c>
      <c r="B3" s="5">
        <f>COUNTA(Inventory!A2:A9)</f>
      </c>
    </row>
    <row x14ac:dyDescent="0.25" r="4" customHeight="1" ht="15">
      <c r="A4" s="4" t="s">
        <v>2</v>
      </c>
      <c r="B4" s="5">
        <f>COUNTIF(Inventory!L2:L9,"listed")</f>
      </c>
    </row>
    <row x14ac:dyDescent="0.25" r="5" customHeight="1" ht="15">
      <c r="A5" s="4" t="s">
        <v>3</v>
      </c>
      <c r="B5" s="5">
        <f>COUNTIF(Inventory!L2:L9,"sold")</f>
      </c>
    </row>
    <row x14ac:dyDescent="0.25" r="6" customHeight="1" ht="15">
      <c r="A6" s="4" t="s">
        <v>4</v>
      </c>
      <c r="B6" s="5">
        <f>COUNTIF(Inventory!L2:L9,"draft")</f>
      </c>
    </row>
    <row x14ac:dyDescent="0.25" r="7" customHeight="1" ht="15">
      <c r="A7" s="4" t="s">
        <v>5</v>
      </c>
      <c r="B7" s="6">
        <f>SUM(Inventory!F2:F9)</f>
      </c>
    </row>
    <row x14ac:dyDescent="0.25" r="8" customHeight="1" ht="15">
      <c r="A8" s="4" t="s">
        <v>6</v>
      </c>
      <c r="B8" s="6">
        <f>SUM(Inventory!G2:G9)</f>
      </c>
    </row>
    <row x14ac:dyDescent="0.25" r="9" customHeight="1" ht="15">
      <c r="A9" s="4" t="s">
        <v>7</v>
      </c>
      <c r="B9" s="6">
        <f>SUM(Inventory!H2:H9)</f>
      </c>
    </row>
  </sheetData>
  <pageMargins left="0.7" right="0.7" top="0.75" bottom="0.75" header="0.3" footer="0.3"/>
</worksheet>
</file>

<file path=docProps/app.xml><?xml version="1.0" encoding="utf-8"?>
<Properties xmlns:vt="http://schemas.openxmlformats.org/officeDocument/2006/docPropsVTypes" xmlns="http://schemas.openxmlformats.org/officeDocument/2006/extended-properties">
  <Application>wijmo.xlsx</Application>
  <DocSecurity>0</DocSecurity>
  <ScaleCrop>false</ScaleCrop>
  <HeadingPairs>
    <vt:vector baseType="variant" size="2">
      <vt:variant>
        <vt:lpstr>Worksheets</vt:lpstr>
      </vt:variant>
      <vt:variant>
        <vt:i4>2</vt:i4>
      </vt:variant>
    </vt:vector>
  </HeadingPairs>
  <TitlesOfParts>
    <vt:vector baseType="lpstr" size="2">
      <vt:lpstr>Inventory</vt:lpstr>
      <vt:lpstr>Summary</vt:lpstr>
    </vt:vector>
  </TitlesOfParts>
  <Manager/>
  <Company>GrapeCity, Inc.</Company>
  <LinksUpToDate>false</LinksUpToDate>
  <SharedDoc>false</SharedDoc>
  <HyperlinksChanged>false</HyperlinksChanged>
  <AppVersion>1.0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2026-03-18T00:11:04.371Z</dcterms:created>
  <dcterms:modified xsi:type="dcterms:W3CDTF">2026-03-18T00:11:04.371Z</dcterms:modified>
</cp:coreProperties>
</file>